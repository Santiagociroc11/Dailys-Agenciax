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Ciro\Desktop\"/>
    </mc:Choice>
  </mc:AlternateContent>
  <xr:revisionPtr revIDLastSave="0" documentId="8_{CC03A53A-8945-4D76-858F-50749F5594AF}" xr6:coauthVersionLast="47" xr6:coauthVersionMax="47" xr10:uidLastSave="{00000000-0000-0000-0000-000000000000}"/>
  <bookViews>
    <workbookView xWindow="57480" yWindow="-30" windowWidth="29040" windowHeight="15720" firstSheet="1" activeTab="1" xr2:uid="{7C880ADD-50BF-4FBF-B0A9-085CD047951C}"/>
  </bookViews>
  <sheets>
    <sheet name="Hoja1" sheetId="1" r:id="rId1"/>
    <sheet name="CUENTAS DINERO PRESUPUESTO1" sheetId="2" r:id="rId2"/>
    <sheet name="DINAMICA" sheetId="3" r:id="rId3"/>
    <sheet name="DINAMICA (2)" sheetId="4" r:id="rId4"/>
  </sheets>
  <definedNames>
    <definedName name="_xlnm._FilterDatabase" localSheetId="1" hidden="1">'CUENTAS DINERO PRESUPUESTO1'!$B$5:$O$2551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33" i="2" l="1"/>
  <c r="K1996" i="2"/>
  <c r="K1944" i="2"/>
  <c r="K1888" i="2"/>
  <c r="K1810" i="2"/>
  <c r="K1806" i="2"/>
  <c r="K1797" i="2"/>
  <c r="G1739" i="2"/>
  <c r="K1732" i="2"/>
  <c r="K1733" i="2"/>
  <c r="K1731" i="2"/>
  <c r="K1453" i="2"/>
  <c r="K1688" i="2"/>
  <c r="K1694" i="2"/>
  <c r="K1696" i="2"/>
  <c r="K1700" i="2"/>
  <c r="H802" i="2"/>
  <c r="K773" i="2"/>
  <c r="K677" i="2"/>
  <c r="K668" i="2"/>
  <c r="O447" i="2"/>
  <c r="L438" i="2"/>
  <c r="L405" i="2"/>
  <c r="L400" i="2"/>
  <c r="L398" i="2"/>
  <c r="L393" i="2"/>
  <c r="L391" i="2"/>
  <c r="L386" i="2"/>
  <c r="L382" i="2"/>
  <c r="L380" i="2" a="1"/>
  <c r="L380" i="2" s="1"/>
  <c r="L357" i="2"/>
  <c r="L310" i="2"/>
  <c r="L307" i="2"/>
  <c r="L305" i="2"/>
  <c r="L300" i="2"/>
  <c r="O270" i="2"/>
  <c r="L266" i="2"/>
  <c r="O231" i="2"/>
  <c r="L216" i="2"/>
  <c r="L204" i="2"/>
  <c r="L202" i="2"/>
  <c r="O196" i="2"/>
  <c r="L191" i="2"/>
  <c r="L190" i="2"/>
  <c r="L183" i="2"/>
  <c r="L131" i="2"/>
  <c r="O115" i="2"/>
  <c r="O114" i="2"/>
  <c r="I98" i="2"/>
  <c r="I4" i="2" s="1"/>
  <c r="K90" i="2"/>
  <c r="L74" i="2"/>
  <c r="O32" i="2"/>
  <c r="N4" i="2"/>
  <c r="N2" i="2" s="1"/>
  <c r="M4" i="2"/>
  <c r="M2" i="2" s="1"/>
  <c r="J4" i="2"/>
  <c r="J2" i="2" s="1"/>
  <c r="P3" i="2"/>
  <c r="H4" i="2" l="1"/>
  <c r="O4" i="2"/>
  <c r="O2" i="2" s="1"/>
  <c r="L4" i="2"/>
  <c r="L2" i="2" s="1"/>
  <c r="K4" i="2"/>
  <c r="K2" i="2" s="1"/>
  <c r="I2" i="2"/>
  <c r="H2" i="2" l="1"/>
  <c r="P4" i="2"/>
  <c r="P2" i="2" s="1"/>
  <c r="H5" i="1" l="1"/>
  <c r="K6" i="1"/>
  <c r="K5" i="1"/>
  <c r="H4" i="1"/>
  <c r="C17" i="1"/>
  <c r="C16" i="1"/>
  <c r="C15" i="1"/>
  <c r="H10" i="1" l="1"/>
  <c r="H24" i="1" s="1"/>
  <c r="H26" i="1" s="1"/>
  <c r="I24" i="1"/>
  <c r="I26" i="1" s="1"/>
  <c r="J24" i="1"/>
  <c r="J26" i="1" s="1"/>
  <c r="F24" i="1"/>
  <c r="F26" i="1" s="1"/>
  <c r="L5" i="1"/>
  <c r="L24" i="1" s="1"/>
  <c r="L26" i="1" s="1"/>
  <c r="C24" i="1"/>
  <c r="D24" i="1"/>
  <c r="D26" i="1" s="1"/>
  <c r="E24" i="1"/>
  <c r="E26" i="1" s="1"/>
  <c r="G24" i="1"/>
  <c r="G26" i="1" s="1"/>
  <c r="K24" i="1"/>
  <c r="K26" i="1" s="1"/>
  <c r="C27" i="1" l="1"/>
  <c r="F27" i="1" s="1"/>
  <c r="C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Santiago Ciiro ...</author>
  </authors>
  <commentList>
    <comment ref="C4" authorId="0" shapeId="0" xr:uid="{4C79573C-EF8C-49A9-9DB0-CEFF6691A876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PLATA VCAPITAL
</t>
        </r>
      </text>
    </comment>
    <comment ref="D4" authorId="0" shapeId="0" xr:uid="{E50A0BBC-EA0D-48E3-AB76-01B1D0C0D4E6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RENOVACIONES
</t>
        </r>
      </text>
    </comment>
    <comment ref="E4" authorId="0" shapeId="0" xr:uid="{2EBE275D-E7CF-4F98-9323-21D8CA28BB2D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VCAPITAL RESERVA
</t>
        </r>
      </text>
    </comment>
    <comment ref="F4" authorId="0" shapeId="0" xr:uid="{965EC3BC-C4ED-4677-855B-494435534C98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ACUMULADO JSD Y VCAPITAL</t>
        </r>
      </text>
    </comment>
    <comment ref="G4" authorId="0" shapeId="0" xr:uid="{FBFFDFC9-5DAE-46FF-B731-1573ED8C40D2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VENTAS VCAPITAL
</t>
        </r>
      </text>
    </comment>
    <comment ref="H4" authorId="0" shapeId="0" xr:uid="{D93FE8B5-F96E-4088-A469-2B7A7BFD89BB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ACUMULADO JSD Y VCAPITAL
</t>
        </r>
      </text>
    </comment>
    <comment ref="I4" authorId="0" shapeId="0" xr:uid="{86571A81-D5C4-47C3-B393-E874A5BADD3F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TRASLADO DE JUAN CARLOS
</t>
        </r>
      </text>
    </comment>
    <comment ref="J4" authorId="0" shapeId="0" xr:uid="{9C8F62C4-4D4C-427D-88A5-FC21FE2D83DE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PARTE PRESUPUESTO EQUIPO
</t>
        </r>
      </text>
    </comment>
    <comment ref="K4" authorId="0" shapeId="0" xr:uid="{EC7030D5-B1AA-442F-8EDC-434BCB3C9C72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VCAPITAL RENOVACIONES
</t>
        </r>
      </text>
    </comment>
    <comment ref="L4" authorId="0" shapeId="0" xr:uid="{871EABBC-FF53-4A17-8F81-560EA8C0F1B5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VENTAS VCAPITAL</t>
        </r>
      </text>
    </comment>
    <comment ref="C5" authorId="0" shapeId="0" xr:uid="{DE3B40F7-A439-465F-9332-797A402E29F9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PLATA GIORGIO
</t>
        </r>
      </text>
    </comment>
    <comment ref="D5" authorId="0" shapeId="0" xr:uid="{1FC5046B-228B-4510-960D-163FC11670B0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TRASLADO A BINANCE
</t>
        </r>
      </text>
    </comment>
    <comment ref="E5" authorId="0" shapeId="0" xr:uid="{CBC1AECA-DE8A-4DE5-9619-22AAA51718E5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VENTAS VCAPITAL L2
</t>
        </r>
      </text>
    </comment>
    <comment ref="F5" authorId="0" shapeId="0" xr:uid="{AEBAD4C0-3A3A-4F7F-8501-7471EE92AC7F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ENVIO JERWIN
</t>
        </r>
      </text>
    </comment>
    <comment ref="G5" authorId="0" shapeId="0" xr:uid="{1667CC4B-0600-4325-8C6F-3032A9711E6A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ENVIO A BINANCE
</t>
        </r>
      </text>
    </comment>
    <comment ref="H5" authorId="0" shapeId="0" xr:uid="{B216C4B3-8BC2-41F4-B0D2-4370097ED81D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RETIRO HOTMART
</t>
        </r>
      </text>
    </comment>
    <comment ref="I5" authorId="0" shapeId="0" xr:uid="{CBB8BB12-2085-420A-AB64-9BF267A9FB4C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parte presupuesto equipo
</t>
        </r>
      </text>
    </comment>
    <comment ref="K5" authorId="0" shapeId="0" xr:uid="{414EB1B2-A2EB-4F20-9EBB-EBC568C1A5DC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EXCEDENTE JSD
</t>
        </r>
      </text>
    </comment>
    <comment ref="L5" authorId="0" shapeId="0" xr:uid="{77D257DF-9B5F-4BDF-A805-C9C1576F67D0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VENTAS BALAYAGE L2</t>
        </r>
      </text>
    </comment>
    <comment ref="C6" authorId="0" shapeId="0" xr:uid="{57BE7009-460B-496C-97E1-C8E11B41A061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GANANCIAS VCAPITAL EQUIPO 
</t>
        </r>
      </text>
    </comment>
    <comment ref="E6" authorId="0" shapeId="0" xr:uid="{62C601FA-495A-45F7-AAEC-20D679630417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TRASLADO A BINANCE
</t>
        </r>
      </text>
    </comment>
    <comment ref="F6" authorId="0" shapeId="0" xr:uid="{6CA6607B-38FC-4108-A1A8-7A2F37C74B29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TRASLADO WALLET VCAPITAL
</t>
        </r>
      </text>
    </comment>
    <comment ref="G6" authorId="0" shapeId="0" xr:uid="{FE5A1E1E-B88F-4B35-BCCD-1DD496C4B9D1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SU PARTE DE LAS GANANCIAS VCAPITAL
</t>
        </r>
      </text>
    </comment>
    <comment ref="H6" authorId="0" shapeId="0" xr:uid="{1319D713-585E-49A6-B653-C2B5826AEA33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PARTE HOTMART
</t>
        </r>
      </text>
    </comment>
    <comment ref="I6" authorId="0" shapeId="0" xr:uid="{4A64FFCC-A4A5-4A10-A2D6-215612DE4DA0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ZOOM MILTHON</t>
        </r>
      </text>
    </comment>
    <comment ref="K6" authorId="0" shapeId="0" xr:uid="{AAFBCBC3-0333-4BE8-B1C6-18347CFD4CBB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RETIRO HOTMART</t>
        </r>
      </text>
    </comment>
    <comment ref="L6" authorId="0" shapeId="0" xr:uid="{4E5FD570-5778-42D0-AC2E-8EECCB6897D2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TRASLADO A PAYONEER
</t>
        </r>
      </text>
    </comment>
    <comment ref="C7" authorId="0" shapeId="0" xr:uid="{765B127A-0394-47B4-9F3C-82432D8A674C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COMISIONES VCAPITAL
</t>
        </r>
      </text>
    </comment>
    <comment ref="F7" authorId="0" shapeId="0" xr:uid="{5015B532-51E8-46A3-BA06-7B1CFD801259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TRASLADO WALLET JSD
</t>
        </r>
      </text>
    </comment>
    <comment ref="G7" authorId="0" shapeId="0" xr:uid="{7F15EB8A-30D4-481F-AC40-742A88D09FAF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COMISION GUSTAVO
</t>
        </r>
      </text>
    </comment>
    <comment ref="H7" authorId="0" shapeId="0" xr:uid="{E1775346-D79B-450C-AEFD-A401A0A1DC5C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PRESTAMO A SANTIAGO PARA CURSO
</t>
        </r>
      </text>
    </comment>
    <comment ref="L7" authorId="0" shapeId="0" xr:uid="{38676DF8-2817-428E-8F34-30F4A79E11B4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SE AUTOREPARTE EXCEDENTE DE FRANK SERAPION
</t>
        </r>
      </text>
    </comment>
    <comment ref="C8" authorId="0" shapeId="0" xr:uid="{D0EAEE87-B2EC-4AC3-A4F0-1C95CAD088F5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PARTE FRAN ENVIO GIORGIO
</t>
        </r>
      </text>
    </comment>
    <comment ref="F8" authorId="0" shapeId="0" xr:uid="{6A0B6B6F-4024-49AF-9EFE-594737D5AC8E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COMISIONES BALAYAGE
</t>
        </r>
      </text>
    </comment>
    <comment ref="G8" authorId="0" shapeId="0" xr:uid="{8AF00121-B01A-440E-9673-A0BEFAD6433B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PARTE JERWIN ENVIO GIORGIO
</t>
        </r>
      </text>
    </comment>
    <comment ref="H8" authorId="0" shapeId="0" xr:uid="{9DFEF348-FA8E-4FF4-A4B9-8EB7DEE459A5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GASTOS HOSTING
</t>
        </r>
      </text>
    </comment>
    <comment ref="C9" authorId="0" shapeId="0" xr:uid="{80EB93B7-19D9-4990-AB43-B34D7C671B4A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PARTE SANTIAGO ENVIO GIORGIO
</t>
        </r>
      </text>
    </comment>
    <comment ref="F9" authorId="0" shapeId="0" xr:uid="{EDEC1A61-AB98-40D1-B8AB-A8B94C293793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DANIEL CANIZO - GERSSON
</t>
        </r>
      </text>
    </comment>
    <comment ref="G9" authorId="0" shapeId="0" xr:uid="{621E0F0F-5506-473D-B336-6EB60635A533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PARTE JERWIN RENOVACIONES VCAPITAL
</t>
        </r>
      </text>
    </comment>
    <comment ref="H9" authorId="0" shapeId="0" xr:uid="{E54F64E2-6D0E-4D32-ACDB-4E31EFFD63A2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DEUDAS Y PAGOS FB
</t>
        </r>
      </text>
    </comment>
    <comment ref="C10" authorId="0" shapeId="0" xr:uid="{376A48D3-CB6B-4186-9644-C13D474839FD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PARTE JUANCA ENVIO GIORGIO</t>
        </r>
      </text>
    </comment>
    <comment ref="F10" authorId="0" shapeId="0" xr:uid="{786ED299-EC5E-42C5-8684-9494CCA3933E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PARTE JERWIN 3083 FS</t>
        </r>
      </text>
    </comment>
    <comment ref="G10" authorId="0" shapeId="0" xr:uid="{865200E0-2D4E-439A-B1D5-8BCFDC41EE6D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SE AUTOREPARTE EXCEDENTE DE FRANK SERAPION
</t>
        </r>
      </text>
    </comment>
    <comment ref="H10" authorId="0" shapeId="0" xr:uid="{6BB61548-FFBF-4193-9B45-B2885550C42B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MANYCHAT Y CHATGPT
</t>
        </r>
      </text>
    </comment>
    <comment ref="C11" authorId="0" shapeId="0" xr:uid="{B54C8EEB-C065-4136-B0D9-C064BABEA356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PARTE EQUIPO RENOVACIONES VCAPITAL</t>
        </r>
      </text>
    </comment>
    <comment ref="F11" authorId="0" shapeId="0" xr:uid="{005912D5-B137-4DA9-9811-FB8C70874853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PARTE JERWIN DE LOS 270+48 QUE SE IBAN A PAGAR</t>
        </r>
      </text>
    </comment>
    <comment ref="H11" authorId="0" shapeId="0" xr:uid="{5E93EF25-411C-4FFA-8C20-7D1359CB4A11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CURSO PERFECT LAUNCH
</t>
        </r>
      </text>
    </comment>
    <comment ref="C12" authorId="0" shapeId="0" xr:uid="{E42FCBCC-64F8-4189-8635-D5DEE561F51A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BALAYAGE EQUIPO</t>
        </r>
      </text>
    </comment>
    <comment ref="F12" authorId="0" shapeId="0" xr:uid="{5C331D52-DF61-4155-BEB0-443C1089EA9C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ADELANTO - 25% DEL 75% QUE HABIA EN AV VILLAS (1976 = 7.904.000)
</t>
        </r>
      </text>
    </comment>
    <comment ref="H12" authorId="0" shapeId="0" xr:uid="{FA9228B8-E33B-4E49-9626-13E913368DEA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FRANK SERAPION</t>
        </r>
      </text>
    </comment>
    <comment ref="C13" authorId="0" shapeId="0" xr:uid="{6FF5B20A-321E-43A3-A498-20C989A344F4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PARTE JOSHUA RENOVACIONES VCAPITAL</t>
        </r>
      </text>
    </comment>
    <comment ref="F13" authorId="0" shapeId="0" xr:uid="{5CDAC8FA-8D23-4FCF-9C4C-19DA72FD2C98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pago jorge varela - FRANKS</t>
        </r>
      </text>
    </comment>
    <comment ref="F14" authorId="0" shapeId="0" xr:uid="{F8F4F24E-E6F0-42EA-8447-1F9FDA60F533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PAGO DANIEL COPY
</t>
        </r>
      </text>
    </comment>
    <comment ref="C15" authorId="0" shapeId="0" xr:uid="{7430C26E-F816-4C0A-9E91-5E179B62C566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PARTE JUAN CARLOS DE 3083 FS
</t>
        </r>
      </text>
    </comment>
    <comment ref="F15" authorId="0" shapeId="0" xr:uid="{10C95EDD-6F1F-404B-8FF4-840DED2AEFB6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PAGO TIFF EBOOK</t>
        </r>
      </text>
    </comment>
    <comment ref="C16" authorId="0" shapeId="0" xr:uid="{D1716978-1F94-4259-896C-4139D423B771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PARTE FRAN 3083 FS</t>
        </r>
      </text>
    </comment>
    <comment ref="C17" authorId="0" shapeId="0" xr:uid="{682EB522-EEC7-4C59-98E1-6A231BA468BF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PARTE SANTIAGO 3083 FS</t>
        </r>
      </text>
    </comment>
    <comment ref="C18" authorId="0" shapeId="0" xr:uid="{BB328135-C5C2-4ECE-98F5-73D5BFF8741F}">
      <text>
        <r>
          <rPr>
            <b/>
            <sz val="9"/>
            <color indexed="81"/>
            <rFont val="Tahoma"/>
            <family val="2"/>
          </rPr>
          <t>Santiago Ciiro ...:</t>
        </r>
        <r>
          <rPr>
            <sz val="9"/>
            <color indexed="81"/>
            <rFont val="Tahoma"/>
            <family val="2"/>
          </rPr>
          <t xml:space="preserve">
ADELANTO - 75% PARA REPARTIR ENTRE JUAN CARLOS, SANTIAGO Y FRAN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<sst xmlns="http://schemas.openxmlformats.org/spreadsheetml/2006/main" count="6163" uniqueCount="1330">
  <si>
    <t>COP</t>
  </si>
  <si>
    <t>USDT</t>
  </si>
  <si>
    <t>USD</t>
  </si>
  <si>
    <t>BANCOLOMBIA</t>
  </si>
  <si>
    <t>WALLET JSD</t>
  </si>
  <si>
    <t>WALLET VCAPITAL</t>
  </si>
  <si>
    <t>BINANCE</t>
  </si>
  <si>
    <t>PERÚ</t>
  </si>
  <si>
    <t>PAYONEER JSD</t>
  </si>
  <si>
    <t>PAYONEER SANTIAGO</t>
  </si>
  <si>
    <t>PAYONEER FRAN</t>
  </si>
  <si>
    <t>HOTMART JSD</t>
  </si>
  <si>
    <t>HOTMART SOULT</t>
  </si>
  <si>
    <t>TOTAL</t>
  </si>
  <si>
    <t>REAL</t>
  </si>
  <si>
    <t>DIFERENCIA</t>
  </si>
  <si>
    <t>REALES</t>
  </si>
  <si>
    <t>TOTALES</t>
  </si>
  <si>
    <t>FECHA</t>
  </si>
  <si>
    <t>PROYECTO</t>
  </si>
  <si>
    <t>DESCRIPCION</t>
  </si>
  <si>
    <t>CATEGORIA/DETALLE</t>
  </si>
  <si>
    <t>CUENTA JUAN CARLOS</t>
  </si>
  <si>
    <t>PAYO SANTIAGO</t>
  </si>
  <si>
    <t>PAYO JSD</t>
  </si>
  <si>
    <t>PAYO FRAN</t>
  </si>
  <si>
    <t>JERWIN PERÚ</t>
  </si>
  <si>
    <t>JSD Y VCAPITAL</t>
  </si>
  <si>
    <t>ACUMULADO JSD Y VCAPITAL</t>
  </si>
  <si>
    <t>CURSO PERFECT LAUNCH</t>
  </si>
  <si>
    <t>DEUDAS Y PAGOS FB</t>
  </si>
  <si>
    <t>ENVÍO JERWIN POR RECIBIDO EN PERÚ</t>
  </si>
  <si>
    <t>GASTOS HOSTING</t>
  </si>
  <si>
    <t>MANYCHAT Y CHATGPT</t>
  </si>
  <si>
    <t>VCAPITAL</t>
  </si>
  <si>
    <t>PAGO DE COMISIONES VCAPITAL</t>
  </si>
  <si>
    <t>GIGI</t>
  </si>
  <si>
    <t>PARTE FRAN DEUDA GIORGIO</t>
  </si>
  <si>
    <t>NA</t>
  </si>
  <si>
    <t>PARTE JERWIN - ADELANTO AV VILLAS</t>
  </si>
  <si>
    <t>PARTE JERWIN DE JOSHUA Y MAURICIO</t>
  </si>
  <si>
    <t>PARTE JUANCA DEUDA GIORGIO</t>
  </si>
  <si>
    <t>PARTE SANTIAGO DEUDA GIORGIO</t>
  </si>
  <si>
    <t>PLATA GIORGIO DEUDA</t>
  </si>
  <si>
    <t>PLATA VCAPITAL</t>
  </si>
  <si>
    <t>EQUIPO</t>
  </si>
  <si>
    <t>PRESUPUESTO EQUIPO</t>
  </si>
  <si>
    <t>JSD</t>
  </si>
  <si>
    <t>TRASLADO DE BILLETERA JSD</t>
  </si>
  <si>
    <t>TRASLADO DE BILLETERA VCAPITAL</t>
  </si>
  <si>
    <t>TRASLADO DE JUAN CARLOS - SOULT</t>
  </si>
  <si>
    <t>UTILIDADES VCAPITAL (F, S Y JC)</t>
  </si>
  <si>
    <t>BALAYAGE</t>
  </si>
  <si>
    <t>PARTE EQUIPO RENOVACIONES VCAPITAL</t>
  </si>
  <si>
    <t>PARTE JOSHUA RENOVACIONES VCAPITAL</t>
  </si>
  <si>
    <t>RETIRO HOTMART JSD</t>
  </si>
  <si>
    <t>ZOOM MILTHON DIC</t>
  </si>
  <si>
    <t>AGENCIA X</t>
  </si>
  <si>
    <t>TRASLADOS ENTRE CUENTAS</t>
  </si>
  <si>
    <t>TRASLADOS</t>
  </si>
  <si>
    <t>PAGO DE COMISIONES BALAYAGE</t>
  </si>
  <si>
    <t>FRANK SERAPION</t>
  </si>
  <si>
    <t>ENTRADA FRANK SERAPION</t>
  </si>
  <si>
    <t>PARTE JERWIN DE 3083 USD FS</t>
  </si>
  <si>
    <t>GERSSON</t>
  </si>
  <si>
    <t>TRATO DANIEL CANIZO - GERSSON</t>
  </si>
  <si>
    <t>ZOOM MILTHON ENE</t>
  </si>
  <si>
    <t>PAGO JORGE VARELA</t>
  </si>
  <si>
    <t>HOSTINGUER SITIOS</t>
  </si>
  <si>
    <t>HOSTINGUER VPS</t>
  </si>
  <si>
    <t>HOSTINGUER</t>
  </si>
  <si>
    <t>MAILERLITE TERAPIAS</t>
  </si>
  <si>
    <t>CHATGPT</t>
  </si>
  <si>
    <t>NATASHA</t>
  </si>
  <si>
    <t>MAILERLITE NATASHA</t>
  </si>
  <si>
    <t>PAGO DANIEL COPY</t>
  </si>
  <si>
    <t>PAGO TIFF EBOOK</t>
  </si>
  <si>
    <t>STREAMYARD GERSSON</t>
  </si>
  <si>
    <t>LEADTRACKER</t>
  </si>
  <si>
    <t>PAGO VIDEO MAKER</t>
  </si>
  <si>
    <t>PAGO A JERWIN</t>
  </si>
  <si>
    <t>PUBLICIDAD GERSSON</t>
  </si>
  <si>
    <t>CURSO JOSE LANDA</t>
  </si>
  <si>
    <t>DEVZAPP GERSSON</t>
  </si>
  <si>
    <t>DEVZAPP NATASHA</t>
  </si>
  <si>
    <t>COSTO ANUAL PAYONEER</t>
  </si>
  <si>
    <t>PARTE JOSHUA</t>
  </si>
  <si>
    <t>VENTA JSD Y COMPENSACION INICIAL</t>
  </si>
  <si>
    <t>ANGELICA ENVIOS</t>
  </si>
  <si>
    <t>DEUDA HERNAN JSD</t>
  </si>
  <si>
    <t>ISABELLA CUENTAS</t>
  </si>
  <si>
    <t>JORGE DISEÑADOR</t>
  </si>
  <si>
    <t>PRUEBA TOKECHAT</t>
  </si>
  <si>
    <t>VALENTINA CAPACITACION CIERRES</t>
  </si>
  <si>
    <t>MAILERLITE GERSSON</t>
  </si>
  <si>
    <t>VENTAS DICIEMBRE HOTMART</t>
  </si>
  <si>
    <t>COPY AUXILIAR</t>
  </si>
  <si>
    <t>CURSO JEAN PIERRE</t>
  </si>
  <si>
    <t>INGRESOS VENTAS</t>
  </si>
  <si>
    <t>PAGO DEUDA HERRAMIENTAS</t>
  </si>
  <si>
    <t>PAGO COMISIONES</t>
  </si>
  <si>
    <t>PAGO GERSSON COMISIONES</t>
  </si>
  <si>
    <t>PAGO % DANIEL MARTINEZ</t>
  </si>
  <si>
    <t>PAGO % DANIEL CANIZO</t>
  </si>
  <si>
    <t>UTILIDADES</t>
  </si>
  <si>
    <t>PARTE GANANCIAS FRANCISCO</t>
  </si>
  <si>
    <t>PARTE GANANCIAS JERWIN</t>
  </si>
  <si>
    <t>PARTE GANANCIAS JUAN CARLOS</t>
  </si>
  <si>
    <t>PARTE GANANCIAS SANTIAGO</t>
  </si>
  <si>
    <t>HERRAMIENTA ADS</t>
  </si>
  <si>
    <t>HOTMART</t>
  </si>
  <si>
    <t>CONSTITUCIÓN EMPRESA</t>
  </si>
  <si>
    <t>GERSSON L2</t>
  </si>
  <si>
    <t>MICROFONO</t>
  </si>
  <si>
    <t>MAILERLITE</t>
  </si>
  <si>
    <t>STAPE</t>
  </si>
  <si>
    <t>LORENA VIDEOS</t>
  </si>
  <si>
    <t>FACEBOOK ADS</t>
  </si>
  <si>
    <t>FRAN HOTMART FIRE</t>
  </si>
  <si>
    <t>CURSO RECURSOS CAPCUT</t>
  </si>
  <si>
    <t>DEVZAPP</t>
  </si>
  <si>
    <t>MANYCHAT</t>
  </si>
  <si>
    <t>ANGELICA, LORENA Y JORGE</t>
  </si>
  <si>
    <t>RENOVACIONES CAMARA DE COMERCIO</t>
  </si>
  <si>
    <t>CAPCUT PRO - FRAN</t>
  </si>
  <si>
    <t>GASTO X</t>
  </si>
  <si>
    <t>DOMINIO AUTOMSCC</t>
  </si>
  <si>
    <t>STEVEN COLLAGUAZO</t>
  </si>
  <si>
    <t>COMISIONES</t>
  </si>
  <si>
    <t>PAGO DANIEL CANIZO</t>
  </si>
  <si>
    <t>GERSSON L3</t>
  </si>
  <si>
    <t>FLODESK</t>
  </si>
  <si>
    <t>CURVES</t>
  </si>
  <si>
    <t>CURSOS PRAXIS</t>
  </si>
  <si>
    <t>PAGO JUAN CARLOS</t>
  </si>
  <si>
    <t>PAGO FRANCISCO</t>
  </si>
  <si>
    <t>WP ROCKET</t>
  </si>
  <si>
    <t>FB ADS</t>
  </si>
  <si>
    <t>DOMINIO CURVES</t>
  </si>
  <si>
    <t>VIAJE DANIEL</t>
  </si>
  <si>
    <t>RAQUEL COPY</t>
  </si>
  <si>
    <t>LAURA VIDEOS</t>
  </si>
  <si>
    <t>RETIRO AUTOMATICO</t>
  </si>
  <si>
    <t>PAGO POR EBOOK TRADUCIDO</t>
  </si>
  <si>
    <t>PAGO A CARLOS EBOOK</t>
  </si>
  <si>
    <t>PARTE JERWIN</t>
  </si>
  <si>
    <t>PARTE POR FUERA</t>
  </si>
  <si>
    <t>GERSSON L4</t>
  </si>
  <si>
    <t>PARTE GANANCIAS DANIEL</t>
  </si>
  <si>
    <t>CAPTIONS</t>
  </si>
  <si>
    <t>INGRESO HOTMART</t>
  </si>
  <si>
    <t>PAGO RAQUEL</t>
  </si>
  <si>
    <t>PAGO LORENA VIDEOS</t>
  </si>
  <si>
    <t>MAILER LITE</t>
  </si>
  <si>
    <t>IPSTACK</t>
  </si>
  <si>
    <t>GOOGLE ADS</t>
  </si>
  <si>
    <t>JSD DISOLUCIÓN</t>
  </si>
  <si>
    <t>IMPUESTOS Y PAGOS PENDIENTES JOSHUA</t>
  </si>
  <si>
    <t>PAGOS CERRADORES L3 - PRESTAMO A GERSSON</t>
  </si>
  <si>
    <t>FB ADS - PRESTAMO FRAN</t>
  </si>
  <si>
    <t>VIAJE FRAN</t>
  </si>
  <si>
    <t>PRUEBAS CHATGPT</t>
  </si>
  <si>
    <t>LORENA, JORGE Y ANGELICA</t>
  </si>
  <si>
    <t>GERSSON L5</t>
  </si>
  <si>
    <t>PARTE DANIEL</t>
  </si>
  <si>
    <t>PARTE FRANCISCO</t>
  </si>
  <si>
    <t>PARTE JUAN CARLOS</t>
  </si>
  <si>
    <t>PARTE SANTIAGO</t>
  </si>
  <si>
    <t>VENTAS</t>
  </si>
  <si>
    <t>TIKTOK ADS</t>
  </si>
  <si>
    <t>DEUDA GERSSON</t>
  </si>
  <si>
    <t>UCHAT</t>
  </si>
  <si>
    <t>VOIP PRUEBA</t>
  </si>
  <si>
    <t>GERSSON L6</t>
  </si>
  <si>
    <t>SENDMAILS</t>
  </si>
  <si>
    <t>NAMECHEAP</t>
  </si>
  <si>
    <t>PAGO A JAVIER CRUZ</t>
  </si>
  <si>
    <t>GERSSON VENTA DIRECTA</t>
  </si>
  <si>
    <t>CARLOS(nov,dic) Y ANGELICA</t>
  </si>
  <si>
    <t>CERRADORES</t>
  </si>
  <si>
    <t>LLAMADA LUNAR PURPURA</t>
  </si>
  <si>
    <t>DEUDA CONTADORES</t>
  </si>
  <si>
    <t>VENTAS ADICIONALES L5</t>
  </si>
  <si>
    <t>GERSSON VPS</t>
  </si>
  <si>
    <t>PENDIENTE GERSSON</t>
  </si>
  <si>
    <t>PAYONEER</t>
  </si>
  <si>
    <t>HOTMART X</t>
  </si>
  <si>
    <t>pago hecho a andres antequera de la parte que corresponde a joshua</t>
  </si>
  <si>
    <t>DANIEL ADELANTO</t>
  </si>
  <si>
    <t>PAGO FINAL ANDRES ANTEQUERA: 3.000.000 + 800.000 CAMARA DE COMERCIO</t>
  </si>
  <si>
    <t xml:space="preserve">JORGE: 1.400.000 + CARLOS 800.000 + RAQUEL 498.000 + SOFIA 100.000 + 2.100.000 ORGANICO + CURSOS 379.600 </t>
  </si>
  <si>
    <t>EASYPANEL</t>
  </si>
  <si>
    <t>ARZA</t>
  </si>
  <si>
    <t>GREATPAGES</t>
  </si>
  <si>
    <t>ADRIANA</t>
  </si>
  <si>
    <t>VPS</t>
  </si>
  <si>
    <t>ARZA-UÑAS-L1</t>
  </si>
  <si>
    <t>VPS BOTS, HOSTING WEB, VPS GERSSON</t>
  </si>
  <si>
    <t>DOMINIOS</t>
  </si>
  <si>
    <t>PARTE GERSSON</t>
  </si>
  <si>
    <t>ADVERONIX</t>
  </si>
  <si>
    <t>VPS N8N AGENCIA, DOMINIO REDIRECCIONES</t>
  </si>
  <si>
    <t>BOLT</t>
  </si>
  <si>
    <t>OPENAI</t>
  </si>
  <si>
    <t>27/02/2025	Card charge (MANYCHAT.COM)
27/02/2025	Card charge (MANYCHAT.COM)
27/02/2025	Card charge (MANYCHAT.COM)
27/02/2025	Card charge (MANYCHAT.COM)
27/02/2025	Card charge (MANYCHAT.COM)
27/02/2025	Card charge (MANYCHAT.COM)
27/02/2025	Card charge (MANYCHAT.COM)
27/02/2025	Card charge (MANYCHAT.COM)
27/02/2025	Card charge (MANYCHAT.COM)
27/02/2025	Card charge (MANYCHAT.COM)
27/02/2025	Card charge (MANYCHAT.COM)
27/02/2025	Card charge (MANYCHAT.COM)
27/02/2025	Card charge (MANYCHAT.COM)
27/02/2025	Card charge (MANYCHAT.COM)
27/02/2025	Card charge (MANYCHAT.COM)
26/02/2025	Card charge (MANYCHAT.COM)
26/02/2025	Card charge (MANYCHAT.COM)
26/02/2025	Card charge (MANYCHAT.COM)
26/02/2025	Card charge (MANYCHAT.COM)
26/02/2025	Card charge (MANYCHAT.COM)
26/02/2025	Card charge (MANYCHAT.COM)
26/02/2025	Card charge (MANYCHAT.COM)
26/02/2025	Card charge (MANYCHAT.COM)
26/02/2025	Card charge (MANYCHAT.COM)
25/02/2025	Card charge (MANYCHAT.COM)
25/02/2025	Card charge (MANYCHAT.COM)
25/02/2025	Card charge (MANYCHAT.COM)
25/02/2025	Card charge (MANYCHAT.COM)
25/02/2025	Card charge (MANYCHAT.COM)
25/02/2025	Card charge (MANYCHAT.COM)
25/02/2025	Card charge (MANYCHAT.COM)
25/02/2025	Card charge (MANYCHAT.COM)
25/02/2025	Card charge (MANYCHAT.COM)
22/02/2025	Card charge (MANYCHAT.COM)
21/02/2025	Card charge (MANYCHAT.COM)
21/02/2025	Card charge (MANYCHAT.COM)
20/02/2025	Card charge (MANYCHAT.COM)
20/02/2025	Card charge (MANYCHAT.COM)
20/02/2025	Card charge (MANYCHAT.COM)
19/02/2025	Card charge (MANYCHAT.COM)
18/02/2025	Card charge (MANYCHAT.COM)
17/02/2025	Card charge (MANYCHAT.COM)
17/02/2025	Card charge (MANYCHAT.COM)
17/02/2025	Card charge (MANYCHAT.COM)
16/02/2025	Card charge (MANYCHAT.COM)
16/02/2025	Card charge (MANYCHAT.COM)
13/02/2025	Card charge (MANYCHAT.COM)
12/02/2025	Card charge (MANYCHAT.COM)
11/02/2025	Card charge (MANYCHAT.COM)
10/02/2025	Card charge (MANYCHAT.COM)
9/02/2025	Card charge (MANYCHAT.COM)
9/02/2025	Card charge (MANYCHAT.COM)
8/02/2025	Card charge (MANYCHAT.COM)
7/02/2025	Card charge (MANYCHAT.COM)
5/02/2025	Card charge (MANYCHAT.COM)
2/02/2025	Card charge (MANYCHAT.COM)
2/02/2025	Card charge (MANYCHAT.COM)
31/01/2025	Card charge (MANYCHAT.COM)
30/01/2025	Card charge (MANYCHAT.COM)
29/01/2025	Card charge (MANYCHAT.COM)
29/01/2025	Card charge (MANYCHAT.COM)
13/01/2025	Card charge (MANYCHAT.COM)</t>
  </si>
  <si>
    <t>VPS BOTS + API PUNTAJE</t>
  </si>
  <si>
    <t>PAGOS DE FEBRERO</t>
  </si>
  <si>
    <t>SUEDOS AGENCIA</t>
  </si>
  <si>
    <t>PAGO DE GREAT PAGES DE MARZO</t>
  </si>
  <si>
    <t>MANYCHAT ENVIOS MASIVOS</t>
  </si>
  <si>
    <t>DESARROLLO DE PLATAFORMA API</t>
  </si>
  <si>
    <t xml:space="preserve">BOT DE IA </t>
  </si>
  <si>
    <t>HOSTING WEB AGENCIA</t>
  </si>
  <si>
    <t>(FACEBK *4SYMLL4PX2)
(FACEBK *SEBSEL4PX2)
(FACEBK *H9DYAKQPX2)
(FACEBK *85FHZKYPX2)
(FACEBK *MXAFALCPX2)
(FACEBK *H9HN5LLPX2)
(FACEBK *HRXS6KQPX2)
(FACEBK *RCDF5KQPX2)
(FACEBK *LAB93LCPX2)
Card charge (FACEBK *PKZ7CL8PX2)
Card charge (FACEBK *CVVY3L4PX2)
Card charge (FACEBK *DJTFTKLPX2)
Card charge (FACEBK *9HY9ZK4PX2)
Card charge (FACEBK *LM2PYK4PX2)
Card charge (FACEBK *AWFUKKYPX2)
Card charge (FACEBK *6FVDKKYPX2)
Card charge (FACEBK *EUEEJMUPX2)
Card charge (FACEBK *RTKHEL4QX2)
Card charge (FACEBK *ND57QKLPX2)
Card charge (FACEBK *FHW3JMUPX2)
Card charge (FACEBK *JHHVDL4QX2)
Card charge (FACEBK *8SKBRJQPX2)
Card charge (FACEBK *HU7EGKYPX2)
Card charge (FACEBK *BHK3UJGPX2)
Card charge (FACEBK *QMQD3L8PX2)
Card charge (FACEBK *BVTQEMUPX2)
Card charge (FACEBK *UK4V2L8PX2)
Card charge (FACEBK *B39SLKLPX2)
Card charge (FACEBK *G5AHKKLPX2)
Card charge (FACEBK *68SEAL4QX2)
Card charge (FACEBK *5HZUXK8PX2)
Card charge (FACEBK *KB2E5L4QX2)
Card charge (FACEBK *EKCX7KYPX2)
Card charge (FACEBK *UHSMKK4PX2)
Card charge (FACEBK *HWPWBKLPX2)
Card charge (FACEBK *5QP6FKCPX2)
Card charge (FACEBK *BCKY3MUPX2)
Card charge (FACEBK *43BKCKCPX2)
Card charge (FACEBK *9HGBAKCPX2)
Card charge (FACEBK *FX5RVJYPX2)
Card charge (FACEBK *GF6DQK4QX2)
Card charge (FACEBK *PYMYKK4QX2)
Card charge (FACEBK *9HBDKK4QX2)
Card charge (FACEBK *KTMAZHGPX2)
Card charge (FACEBK *B5ZSJK4QX2)
Card charge (FACEBK *4WQRWJCPX2)
Card charge (FACEBK *4UPZHK4QX2)
Card charge (FACEBK *XQC7WJCPX2)
Card charge (FACEBK *GVGBUHQPX2)
Card charge (FACEBK *UNX5XHGPX2)
Card charge (FACEBK *E4XN6K8PX2)
Card charge (FACEBK *C52E6K8PX2)
Card charge (FACEBK *83TPSHQPX2)
Card charge (FACEBK *73RPVHGPX2)
Card charge (FACEBK *VGM4WHGPX2)
Card charge (FACEBK *3ABQUHGPX2)
Card charge (FACEBK *QPQ8SHQPX2)
Card charge (FACEBK *A2CBPJLPX2)
Card charge (FACEBK *GJ2ZPJCPX2)
Card charge (FACEBK *AYF3BK4QX2)
Card charge (FACEBK *95FGVJ4PX2)
Card charge (FACEBK *5U59NJLPX2)
Card charge (FACEBK *4PBHFJYPX2)
Card charge (FACEBK *QJLWUJ4PX2)
Card charge (FACEBK *G62FTHGPX2)
Card charge (FACEBK *93DQLJLPX2)
Card charge (FACEBK *PC83PHQPX2)
Card charge (FACEBK *46JSMHQPX2)
Card charge (FACEBK *WLXNJJLPX2)
Card charge (FACEBK *P72GCJYPX2)
Card charge (FACEBK *NG64HJLPX2)
Card charge (FACEBK *2YZRNJ4PX2)
Card charge (FACEBK *SVH8UJ8PX2)
Card charge (FACEBK *L5DS6LUPX2)
Card charge (FACEBK *3A65KJ4PX2)
Card charge (FACEBK *9JDTAJLPX2)
Card charge (FACEBK *8JWZZKUPX2)
Card charge (FACEBK *N42GFHGPX2)
Card charge (FACEBK *WUNX7JLPX2)
Card charge (FACEBK *BTHYCHGPX2)
Card charge (FACEBK *GP5Y8HQPX2)
Card charge (FACEBK *3SZA8HQPX2)
Card charge (FACEBK *5AWYWHYPX2)
Card charge (FACEBK *CRUL9HGPX2)
Card charge (FACEBK *DVGX6JCPX2)
Card charge (FACEBK *6XLK5JCPX2)
Card charge (FACEBK *KCMPCJ8PX2)
Card charge (FACEBK *VLYZ3J4PX2)
Card charge (FACEBK *QLA8KKUPX2)
Card charge (FACEBK *U8HHRGQPX2)
Card charge (FACEBK *G5CRAJ4QX2)
Card charge (FACEBK *SPT6BHYPX2)
Card charge (FACEBK *29GGTH8PX2)
Card charge (FACEBK *MBWS5HYPX2)
Card charge (FACEBK *47PEMH8PX2)
Card charge (FACEBK *Y6HLXGYPX2)
Card charge (FACEBK *NK734GQPX2)
Card charge (FACEBK *8E9D2HCPX2)
Card charge (FACEBK *LEHXWGCPX2)
Card charge (FACEBK *C7HUEH4QX2)
Card charge (FACEBK *TVZSVFGPX2)
Card charge (FACEBK *R7TNSFGPX2)
Card charge (FACEBK *U964AJUPX2)
Card charge (FACEBK *TPAGKG4PX2)</t>
  </si>
  <si>
    <t>HOSTING TERAPIAS MAGNETICAS</t>
  </si>
  <si>
    <t>MANYCHAT RECARGA AUTO</t>
  </si>
  <si>
    <t>ARZA-CEJAS-L1</t>
  </si>
  <si>
    <t>FLODESK ARZA</t>
  </si>
  <si>
    <t>VPS N8N AGENCIA</t>
  </si>
  <si>
    <t>GERSSON L7</t>
  </si>
  <si>
    <t>VPS N8N GERSSON</t>
  </si>
  <si>
    <t>Card charge (FACEBK *AKJ9UKQPX2)</t>
  </si>
  <si>
    <t>CHATGPT + BOLT</t>
  </si>
  <si>
    <t>CURSO TRACKEO TUTOPRESS</t>
  </si>
  <si>
    <t>CURSOS</t>
  </si>
  <si>
    <t>Card charge (FACEBK *HS29CM8PX2)</t>
  </si>
  <si>
    <t xml:space="preserve">RETIRO AUTOMATICO </t>
  </si>
  <si>
    <t>ARZA-PASTELERIA-L1</t>
  </si>
  <si>
    <t>DOMINIO PASTELERIA</t>
  </si>
  <si>
    <t>Card charge (FACEBK *2BN5VLYPX2)</t>
  </si>
  <si>
    <t>Card charge (FACEBK *YZJWVM4QX2)</t>
  </si>
  <si>
    <t>ADVERONIX MARZO</t>
  </si>
  <si>
    <t>Card charge (FACEBK *5KR95PUPX2)</t>
  </si>
  <si>
    <t>CREACION DE PLATAFORMAS IA</t>
  </si>
  <si>
    <t>Card charge (FACEBK *VV9JVM8PX2)</t>
  </si>
  <si>
    <t>Card charge (SIGNALWIRE)</t>
  </si>
  <si>
    <t>SIGNALWIRE</t>
  </si>
  <si>
    <t>Card charge (FACEBK *ZTUKAPUPX2)</t>
  </si>
  <si>
    <t>Card charge (FACEBK *65P2MMCPX2)</t>
  </si>
  <si>
    <t>Card charge (FACEBK *UQUYCPUPX2)</t>
  </si>
  <si>
    <t>Card charge (FACEBK *W64LBN4QX2)</t>
  </si>
  <si>
    <t>PAGO DE COMISIONES</t>
  </si>
  <si>
    <t>SUELDOS MARZO</t>
  </si>
  <si>
    <t>SUELDOS</t>
  </si>
  <si>
    <t>CONTRATOS ANDRES RENDON</t>
  </si>
  <si>
    <t>CONTRATOS</t>
  </si>
  <si>
    <t>COMPRA CURSOS (productos virales + bumps )</t>
  </si>
  <si>
    <t>Card charge (FACEBK *WPK62MQPX2)</t>
  </si>
  <si>
    <t>Card charge (FACEBK *G5RXCN8PX2)</t>
  </si>
  <si>
    <t>Card charge (FACEBK *5A77WLQPX2)</t>
  </si>
  <si>
    <t>Card charge (FACEBK *8P2T6N8PX2)</t>
  </si>
  <si>
    <t>Card charge (FACEBK *377JVMCPX2)</t>
  </si>
  <si>
    <t>COMPRA CURSO TRACKING API</t>
  </si>
  <si>
    <t>PRESTAMO A GERSSON DE THRIVE</t>
  </si>
  <si>
    <t>THRIVE</t>
  </si>
  <si>
    <t>PAGO COMISIONES L6</t>
  </si>
  <si>
    <t>PAGOS COMISIONES</t>
  </si>
  <si>
    <t>Card charge (FLODESK.COM)</t>
  </si>
  <si>
    <t>GIORGIO L1</t>
  </si>
  <si>
    <t>DOMINIO GIORGIO</t>
  </si>
  <si>
    <t>VCAPITAL L1</t>
  </si>
  <si>
    <t>DOMINIO VCAPITAL</t>
  </si>
  <si>
    <t>DOMINIO</t>
  </si>
  <si>
    <t>DOMINIO NUEVO CORREOS GERSSON</t>
  </si>
  <si>
    <t>Card charge (MANYCHAT.COM)</t>
  </si>
  <si>
    <t>Card charge (FACEBK *HS598N4PX2)</t>
  </si>
  <si>
    <t>PAGO A SANTIAGO</t>
  </si>
  <si>
    <t>PAGO A FRAN</t>
  </si>
  <si>
    <t>PAGO A JUANCA</t>
  </si>
  <si>
    <t>Card charge (FACEBK *6PTC7MQPX2)</t>
  </si>
  <si>
    <t>PAGO PARA PLATAFORMA DAILYS</t>
  </si>
  <si>
    <t>Card charge (FACEBK *N7HN4NYPX2)</t>
  </si>
  <si>
    <t>NELLY</t>
  </si>
  <si>
    <t>de 29 abr - 12 abr | ultimo: 23,21</t>
  </si>
  <si>
    <t>Card charge (FACEBK *4AHG9NYPX2)</t>
  </si>
  <si>
    <t>ADVERONIX MAYO</t>
  </si>
  <si>
    <t>Card charge (FACEBK *B44NRMGPX2)</t>
  </si>
  <si>
    <t>Card charge (FACEBK *NP6XWMGPX2)</t>
  </si>
  <si>
    <t>VPS HOSTING GERSSON</t>
  </si>
  <si>
    <t>SANTIAGO</t>
  </si>
  <si>
    <t>Card charge (FACEBK *XZYZLP4QX2)</t>
  </si>
  <si>
    <t>Card charge (CURSOR, AI POWERED IDE)</t>
  </si>
  <si>
    <t>CURSOR</t>
  </si>
  <si>
    <t>Card charge (FACEBK *XZ69LP8PX2)</t>
  </si>
  <si>
    <t>Card charge (OPENAI *CHATGPT SUBSCR)</t>
  </si>
  <si>
    <t>Card charge (FACEBK *XJW8HPCPX2)</t>
  </si>
  <si>
    <t>Card charge (FACEBK *4UWYQPLPX2)</t>
  </si>
  <si>
    <t>Card charge (FACEBK *7H5EMNQPX2)</t>
  </si>
  <si>
    <t>Card charge (FACEBK *YAJ5VP4PX2)</t>
  </si>
  <si>
    <t>Card charge (OPENAI)</t>
  </si>
  <si>
    <t>Card charge (FACEBK *7PRNPRUPX2)</t>
  </si>
  <si>
    <t>Card charge (FACEBK *X4EL7NCK52)</t>
  </si>
  <si>
    <t>PAGO DEUDA CURVES MEDICAL</t>
  </si>
  <si>
    <t>PAGO DEUDA CURVES</t>
  </si>
  <si>
    <t>PAGO MENTORIA DYNAMIS</t>
  </si>
  <si>
    <t>Card charge (FACEBK *NWTWTNQPX2)</t>
  </si>
  <si>
    <t>GREATPAGES AGENCIA</t>
  </si>
  <si>
    <t>Card charge (FACEBK *BQ4RRL8K52)</t>
  </si>
  <si>
    <t>Card charge (FACEBK *TEMP HOLD IIKY)</t>
  </si>
  <si>
    <t>Card charge (FACEBK *5W4GCMLK52)</t>
  </si>
  <si>
    <t>Card charge (STREAMYARD.COM)</t>
  </si>
  <si>
    <t>Card charge (FACEBK *TEMP HOLD C76R)</t>
  </si>
  <si>
    <t>Card charge (FACEBK *QEUZTPLPX2)</t>
  </si>
  <si>
    <t>Card charge (FACEBK *A6A9XP4RN2)</t>
  </si>
  <si>
    <t>Card charge (FACEBK *VHM98PURN2)</t>
  </si>
  <si>
    <t>Card charge (FACEBK *M9BWSPCRN2)</t>
  </si>
  <si>
    <t>Card charge (FACEBK *BWWTWP4RN2)</t>
  </si>
  <si>
    <t>Card charge (FACEBK *89PUYNQPX2)</t>
  </si>
  <si>
    <t>Card charge (FACEBK *9SEZNRQRN2)</t>
  </si>
  <si>
    <t>Card charge (FACEBK *TEMP HOLD FWUC)</t>
  </si>
  <si>
    <t>RETIRO HOTMART</t>
  </si>
  <si>
    <t>Payment from Hotmart</t>
  </si>
  <si>
    <t>Card charge (STAPE, INC.)</t>
  </si>
  <si>
    <t>Card charge (FACEBK *TEMP HOLD YSEX)</t>
  </si>
  <si>
    <t>Card charge (FACEBK *YJAP8Q4PX2)</t>
  </si>
  <si>
    <t>Card charge (FACEBK *JK9Q3QCPX2)</t>
  </si>
  <si>
    <t>Card charge (FACEBK *MTESCQ4PX2)</t>
  </si>
  <si>
    <t>VPS PLATAFORMA CUENTAS</t>
  </si>
  <si>
    <t>Card charge (FACEBK *63S8DQ4AY2)</t>
  </si>
  <si>
    <t>Card charge (FACEBK *YVJ3SQ4QX2)</t>
  </si>
  <si>
    <t>Card charge (FACEBK *TPE37QU9Y2)</t>
  </si>
  <si>
    <t>Card charge (FACEBK *5GQS4NU9Y2)</t>
  </si>
  <si>
    <t>Card charge (FACEBK *LFNM5NCAY2)</t>
  </si>
  <si>
    <t>ARZA-UÑAS-L2</t>
  </si>
  <si>
    <t>PAGO DE PRESTAMO THRIVE</t>
  </si>
  <si>
    <t>PAGO PRESTAMO GERSSON</t>
  </si>
  <si>
    <t>Card charge (FACEBK *JMTRZQUQN2)</t>
  </si>
  <si>
    <t>Card charge (FACEBK *DE579NCAY2)</t>
  </si>
  <si>
    <t>Card charge (FACEBK *33G5RN4AY2)</t>
  </si>
  <si>
    <t>NOMINA MAYO</t>
  </si>
  <si>
    <t>NOMINA</t>
  </si>
  <si>
    <t>Card charge (FACEBK *6NJ2VQYQN2)</t>
  </si>
  <si>
    <t>Card charge (FACEBK *BC99CPGAY2)</t>
  </si>
  <si>
    <t>Card charge (FACEBK *STE7FPGAY2)</t>
  </si>
  <si>
    <t>Card charge (FACEBK *2AHBSR8RN2)</t>
  </si>
  <si>
    <t>Card charge (FACEBK *NMQ5LNU9Y2)</t>
  </si>
  <si>
    <t>Card charge (ASA*FLRN COMPANY LTDA)</t>
  </si>
  <si>
    <t>Card charge (FACEBK *25HLSPCAY2)</t>
  </si>
  <si>
    <t>Card charge (FACEBK *BFXPTQ8PX2)</t>
  </si>
  <si>
    <t>Card charge (FACEBK *E5UAAPQPX2)</t>
  </si>
  <si>
    <t>DOMINIO BUSINESS VCAPITAL</t>
  </si>
  <si>
    <t>Card charge (ADVERONIX LLC)</t>
  </si>
  <si>
    <t>Card charge (FACEBK *GUDV3S8RN2)</t>
  </si>
  <si>
    <t>CHAGPT</t>
  </si>
  <si>
    <t>Payment to BANCOLOMBIA (1854)</t>
  </si>
  <si>
    <t>Card charge (BOLT (BY STACKBLITZ))</t>
  </si>
  <si>
    <t>Card charge (GREATAPPS)</t>
  </si>
  <si>
    <t>STREAMYARD</t>
  </si>
  <si>
    <t>Card charge (SUPABASE)</t>
  </si>
  <si>
    <t>SUPABASE</t>
  </si>
  <si>
    <t>Card charge (DEVZAPP LTDA)</t>
  </si>
  <si>
    <t>Card charge (Paypro 448003688867)</t>
  </si>
  <si>
    <t>WHATZAPPER</t>
  </si>
  <si>
    <t>PLATAFORMA CORREOS</t>
  </si>
  <si>
    <t>IA ASISTENTE CODIGO PLATAFORMAS</t>
  </si>
  <si>
    <t>INFOPRODUCTOS X</t>
  </si>
  <si>
    <t>ARZA-CEJAS-L2</t>
  </si>
  <si>
    <t>Card charge (FACEBK *H2YJLPGW22)</t>
  </si>
  <si>
    <t>Card charge (FACEBK *HULTCQCW22)</t>
  </si>
  <si>
    <t>Card charge (FACEBK *YQCTFPYV22)</t>
  </si>
  <si>
    <t>Card charge (FACEBK *UQHQRP4W22)</t>
  </si>
  <si>
    <t>Card charge (FACEBK *SPPJCQCW22)</t>
  </si>
  <si>
    <t>Card charge (FACEBK *9HXEKPGW22)</t>
  </si>
  <si>
    <t>Card charge (FACEBK *WKN6FQQW22)</t>
  </si>
  <si>
    <t>Card charge (FACEBK *UW8JBQCW22)</t>
  </si>
  <si>
    <t>Card charge (FACEBK *XYFWDQCW22)</t>
  </si>
  <si>
    <t>Card charge (FACEBK *WF37MQUW22)</t>
  </si>
  <si>
    <t>Card charge (FACEBK *SPMSFPLW22)</t>
  </si>
  <si>
    <t>Card charge (FACEBK *CHRTTP4W22)</t>
  </si>
  <si>
    <t>MEMBRESIA MANYCHAT</t>
  </si>
  <si>
    <t>Card charge (FACEBK *2WHKKQQW22)</t>
  </si>
  <si>
    <t>Card charge (FACEBK *3JQWPPGW22)</t>
  </si>
  <si>
    <t>Card charge (FACEBK *V4TEJQQW22)</t>
  </si>
  <si>
    <t>Card charge (FACEBK *F6G5KQQW22)</t>
  </si>
  <si>
    <t>Card charge (FACEBK *EXJEPPGW22)</t>
  </si>
  <si>
    <t>Card charge (FACEBK *AL9EMQUV22)</t>
  </si>
  <si>
    <t>Card charge (FACEBK *RY5FNPGW22)</t>
  </si>
  <si>
    <t>Card charge (FACEBK *3WQLNQUV22)</t>
  </si>
  <si>
    <t>Card charge (FACEBK *G3XZJPLW22)</t>
  </si>
  <si>
    <t>Card charge (FACEBK *73XVKPLW22)</t>
  </si>
  <si>
    <t>Card charge (FACEBK *V5U5LPLW22)</t>
  </si>
  <si>
    <t>Card charge (FACEBK *56WRMPYV22)</t>
  </si>
  <si>
    <t>PLATAFORMA ESPIONAJE</t>
  </si>
  <si>
    <t>NINJABR</t>
  </si>
  <si>
    <t>Card charge (FACEBK *CT6CUPGW22)</t>
  </si>
  <si>
    <t>Card charge (FACEBK *LGNDKQCW22)</t>
  </si>
  <si>
    <t>Card charge (FACEBK *BGUQQPLW22)</t>
  </si>
  <si>
    <t>Card charge (FACEBK *QP28VPGW22)</t>
  </si>
  <si>
    <t>Card charge (FACEBK *GT66VPYV22)</t>
  </si>
  <si>
    <t>Card charge (FACEBK *3378TPLW22)</t>
  </si>
  <si>
    <t>Card charge (FACEBK *WDV6XPGW22)</t>
  </si>
  <si>
    <t>Card charge (FACEBK *K5VBYPGW22)</t>
  </si>
  <si>
    <t>Card charge (FACEBK *KKZUPQ8W22)</t>
  </si>
  <si>
    <t>Card charge (FACEBK *5WRGYPYV22)</t>
  </si>
  <si>
    <t>Card charge (FACEBK *AVRXYPYV22)</t>
  </si>
  <si>
    <t>Card charge (FACEBK *GVERMQ8W22)</t>
  </si>
  <si>
    <t>Card charge (FACEBK *5TUA2QGW22)</t>
  </si>
  <si>
    <t>Card charge (FACEBK *KT8QWPYV22)</t>
  </si>
  <si>
    <t>Card charge (FACEBK *5S3Z2RQW22)</t>
  </si>
  <si>
    <t>Card charge (FACEBK *LVFPXQCW22)</t>
  </si>
  <si>
    <t>Card charge (FACEBK *FLSCXQCW22)</t>
  </si>
  <si>
    <t>Card charge (FACEBK *6QHA5QYV22)</t>
  </si>
  <si>
    <t>Card charge (FACEBK *NTZR5QYV22)</t>
  </si>
  <si>
    <t>Card charge (FACEBK *5F2F4QYV22)</t>
  </si>
  <si>
    <t>Card charge (FACEBK *9MBJ4RCW22)</t>
  </si>
  <si>
    <t>Card charge (FACEBK *EPNWVQ8W22)</t>
  </si>
  <si>
    <t>Card charge (FACEBK *8SJBAQGW22)</t>
  </si>
  <si>
    <t>Card charge (FACEBK *UXTUYQ8W22)</t>
  </si>
  <si>
    <t>Card charge (FACEBK *QLFF6RCW22)</t>
  </si>
  <si>
    <t>Card charge (FACEBK *963V8QYV22)</t>
  </si>
  <si>
    <t>Card charge (FACEBK *ZLQEBQLW22)</t>
  </si>
  <si>
    <t>Card charge (FACEBK *UFZKBQYV22)</t>
  </si>
  <si>
    <t>Card charge (FACEBK *SRA4ERUV22)</t>
  </si>
  <si>
    <t>Card charge (FACEBK *RDNWBRQW22)</t>
  </si>
  <si>
    <t>Card charge (FACEBK *AYDEPQ4W22)</t>
  </si>
  <si>
    <t>Card charge (FACEBK *37AHHQYV22)</t>
  </si>
  <si>
    <t>Card charge (FACEBK *QFVMJRUV22)</t>
  </si>
  <si>
    <t>Card charge (FACEBK *QDG7FQLW22)</t>
  </si>
  <si>
    <t>Card charge (FACEBK *NCW2EQLW22)</t>
  </si>
  <si>
    <t>Card charge (FACEBK *HZBCFQYV22)</t>
  </si>
  <si>
    <t>Card charge (FACEBK *PTMVEQYV22)</t>
  </si>
  <si>
    <t>Card charge (FACEBK *L5DPCQLW22)</t>
  </si>
  <si>
    <t>Card charge (FACEBK *ZVVJNRUW22)</t>
  </si>
  <si>
    <t>Card charge (FACEBK *TGGEHRQW22)</t>
  </si>
  <si>
    <t>Card charge (FACEBK *PYDU8R8W22)</t>
  </si>
  <si>
    <t>Card charge (FACEBK *EV95JRCW22)</t>
  </si>
  <si>
    <t>Card charge (FACEBK *QWJDRQGW22)</t>
  </si>
  <si>
    <t>Card charge (FACEBK *G3Y6HRCW22)</t>
  </si>
  <si>
    <t>Card charge (FACEBK *F5WHLRQW22)</t>
  </si>
  <si>
    <t>Card charge (FACEBK *YFVS9R8W22)</t>
  </si>
  <si>
    <t>Card charge (FACEBK *Q5Y3NQLW22)</t>
  </si>
  <si>
    <t>Card charge (FACEBK *9VLGTQGW22)</t>
  </si>
  <si>
    <t>Card charge (FACEBK *SVW7TQGW22)</t>
  </si>
  <si>
    <t>Card charge (FACEBK *LN82SQGW22)</t>
  </si>
  <si>
    <t>Card charge (FACEBK *KQJESQGW22)</t>
  </si>
  <si>
    <t>Card charge (FACEBK *3VA4QQLW22)</t>
  </si>
  <si>
    <t>Card charge (FACEBK *PUFYMRCW22)</t>
  </si>
  <si>
    <t>Card charge (FACEBK *HLEQURUW22)</t>
  </si>
  <si>
    <t>Card charge (FACEBK *BF8BQQYV22)</t>
  </si>
  <si>
    <t>Card charge (FACEBK *L6T2SQLW22)</t>
  </si>
  <si>
    <t>Card charge (FACEBK *FM9FTQYV22)</t>
  </si>
  <si>
    <t>Card charge (FACEBK *4T264R4W22)</t>
  </si>
  <si>
    <t>Card charge (FACEBK *SLY9SQYV22)</t>
  </si>
  <si>
    <t>Card charge (FACEBK *N3DMYQGW22)</t>
  </si>
  <si>
    <t>Card charge (FACEBK *NKRMLR8W22)</t>
  </si>
  <si>
    <t>Card charge (FACEBK *9SVKKR8W22)</t>
  </si>
  <si>
    <t>Card charge (FACEBK *AKCE2RGW22)</t>
  </si>
  <si>
    <t>Card charge (FACEBK *CDN7HQ4W22)</t>
  </si>
  <si>
    <t>Card charge (FACEBK *J54BAR4W22)</t>
  </si>
  <si>
    <t>Card charge (FACEBK *9TWB2SUV22)</t>
  </si>
  <si>
    <t>Card charge (FACEBK *49EMXQYV22)</t>
  </si>
  <si>
    <t>Card charge (FACEBK *AWKFYQYV22)</t>
  </si>
  <si>
    <t>Card charge (FACEBK *JVQBCR4W22)</t>
  </si>
  <si>
    <t>Card charge (FACEBK *Y8YAYQLW22)</t>
  </si>
  <si>
    <t>Card charge (FACEBK *X87G5SUW22)</t>
  </si>
  <si>
    <t>Card charge (FACEBK *W36K6RGW22)</t>
  </si>
  <si>
    <t>Card charge (FACEBK *UXLLVRCW22)</t>
  </si>
  <si>
    <t>Card charge (FACEBK *JL29ZRCW22)</t>
  </si>
  <si>
    <t>Card charge (FACEBK *VYZG2RLW22)</t>
  </si>
  <si>
    <t>Card charge (FACEBK *QLKA6SUV22)</t>
  </si>
  <si>
    <t>Card charge (FACEBK *K32WCR4W22)</t>
  </si>
  <si>
    <t>Card charge (FACEBK *DDXJUTCPX2)</t>
  </si>
  <si>
    <t>Card charge (FACEBK *V5X6VR8W22)</t>
  </si>
  <si>
    <t>Card charge (FACEBK *9GXM6RYV22)</t>
  </si>
  <si>
    <t>Card charge (FACEBK *3H786RYV22)</t>
  </si>
  <si>
    <t>Card charge (ASAAS*DEVZAPP LTDA)</t>
  </si>
  <si>
    <t>Card charge (FACEBK *SR98TR8W22)</t>
  </si>
  <si>
    <t>Card charge (FACEBK *Z7FA8RYV22)</t>
  </si>
  <si>
    <t>Card charge (FACEBK *WC5W9SQW22)</t>
  </si>
  <si>
    <t>Payment from Gersson Lopez</t>
  </si>
  <si>
    <t>Card charge (FACEBK *KRWGDSUW22)</t>
  </si>
  <si>
    <t>Payment to Bancolombia (5406)</t>
  </si>
  <si>
    <t>Card charge (FACEBK *NXRFFRYV22)</t>
  </si>
  <si>
    <t>Card charge (FACEBK *H5HVGSQW22)</t>
  </si>
  <si>
    <t>Card charge (READ - MEETING MANAGER)</t>
  </si>
  <si>
    <t>Card charge (FACEBK *GPX5QR4W22)</t>
  </si>
  <si>
    <t>Card charge (FACEBK *NJHAASCW22)</t>
  </si>
  <si>
    <t>Card charge (CURSOR USAGE  JUN)</t>
  </si>
  <si>
    <t>Card charge (FACEBK *5VQ2PR4W22)</t>
  </si>
  <si>
    <t>Card charge (FACEBK *YBG7BRLW22)</t>
  </si>
  <si>
    <t>Card charge (FACEBK *DBAJCRYV22)</t>
  </si>
  <si>
    <t>Card charge (FACEBK *J7TZ9RLW22)</t>
  </si>
  <si>
    <t>Card charge (CLAUDE.AI SUBSCRIPTION)</t>
  </si>
  <si>
    <t>Card charge (FACEBK *J2JNFRGW22)</t>
  </si>
  <si>
    <t>Card charge (FACEBK *BHGHLR4W22)</t>
  </si>
  <si>
    <t>Card charge (FACEBK *UDHE8S8W22)</t>
  </si>
  <si>
    <t>Card charge (FACEBK *4ZL2NRGW22)</t>
  </si>
  <si>
    <t>Card charge (FACEBK *5TRG6S8W22)</t>
  </si>
  <si>
    <t>Card charge (FACEBK *SR5WKRYV22)</t>
  </si>
  <si>
    <t>Card charge (FACEBK *3SHENRYV22)</t>
  </si>
  <si>
    <t>Card charge (FACEBK *57TUMSQW22)</t>
  </si>
  <si>
    <t>PAGO PRESTAMO</t>
  </si>
  <si>
    <t>Card charge (FACEBK *W264PRLW22)</t>
  </si>
  <si>
    <t>Card charge (FACEBK *DTC9NRLW22)</t>
  </si>
  <si>
    <t>Card charge (FACEBK *QXAZVSUW22)</t>
  </si>
  <si>
    <t>Card charge (FACEBK *KD52TRYV22)</t>
  </si>
  <si>
    <t>Card charge (FACEBK *EHCDWSUV22)</t>
  </si>
  <si>
    <t>Card charge (FACEBK *K22B4SGW22)</t>
  </si>
  <si>
    <t>Card charge (FACEBK *C5MF3SGW22)</t>
  </si>
  <si>
    <t>Card charge (FACEBK *APP87S4W22)</t>
  </si>
  <si>
    <t>Card charge (FACEBK *KQRJXRLW22)</t>
  </si>
  <si>
    <t>Card charge (FACEBK *VF6TDS4W22)</t>
  </si>
  <si>
    <t>Card charge (FACEBK *W7BBCS4W22)</t>
  </si>
  <si>
    <t>Card charge (CURSOR USAGE MID  JUL)</t>
  </si>
  <si>
    <t>Card charge (FACEBK *4VGY7TUV22)</t>
  </si>
  <si>
    <t>Card charge (FACEBK *CJBG6SYV22)</t>
  </si>
  <si>
    <t>Card charge (FACEBK *SLPK9TQW22)</t>
  </si>
  <si>
    <t>Payment to JUAN CARLOS BARROS ALFARO</t>
  </si>
  <si>
    <t>Payment to Daniel Stiven Garay Martinez</t>
  </si>
  <si>
    <t>Card charge (FACEBK *9F6Q9TUV22)</t>
  </si>
  <si>
    <t>Card charge (FACEBK *6BTHESGW22)</t>
  </si>
  <si>
    <t>Card charge (FACEBK *G5YRETUW22)</t>
  </si>
  <si>
    <t>UTILIDADES L7</t>
  </si>
  <si>
    <t>pago a santiago ciro</t>
  </si>
  <si>
    <t>FIVEER</t>
  </si>
  <si>
    <t>IA REUNIONES</t>
  </si>
  <si>
    <t>VIAJE MEXICO DANIEL</t>
  </si>
  <si>
    <t>CLAUDE</t>
  </si>
  <si>
    <t>Pago por verificación de app hotapi</t>
  </si>
  <si>
    <t>GERSSON L8</t>
  </si>
  <si>
    <t>SANTIAGO MENDEZ</t>
  </si>
  <si>
    <t>DOMINIO academysantiagomendez.com</t>
  </si>
  <si>
    <t>Consumo con la tarjeta (OPENAI *CHATGPT SUBSCR)</t>
  </si>
  <si>
    <t>VENTAS ENERO</t>
  </si>
  <si>
    <t>INGRESOS HOTMART</t>
  </si>
  <si>
    <t>PAGO FEE</t>
  </si>
  <si>
    <t>FEE AGENCIA</t>
  </si>
  <si>
    <t>VENTAS FEBRERO</t>
  </si>
  <si>
    <t>VENTAS MASTER - MAYO</t>
  </si>
  <si>
    <t>UTILIDADES ADRIANA</t>
  </si>
  <si>
    <t>UTILIDADES 1 ENE-15 FEB</t>
  </si>
  <si>
    <t>UTILIDADES 16 FEB - 31 MAR</t>
  </si>
  <si>
    <t>UTILIDADES 1 ABR - 15 MAY</t>
  </si>
  <si>
    <t>VENTAS ABRIL</t>
  </si>
  <si>
    <t>VENTAS JUNIO</t>
  </si>
  <si>
    <t>VENTAS MAYO</t>
  </si>
  <si>
    <t>VENTAS MARZO</t>
  </si>
  <si>
    <t>INGRESOS BANCOLOMBIA</t>
  </si>
  <si>
    <t>VENTAS L7</t>
  </si>
  <si>
    <t>VENTAS L6</t>
  </si>
  <si>
    <t>VENTAS DE TODO A 15 DE JULIO</t>
  </si>
  <si>
    <t>Etiquetas de fila</t>
  </si>
  <si>
    <t>Total general</t>
  </si>
  <si>
    <t>Etiquetas de columna</t>
  </si>
  <si>
    <t>DEUDA JSD REVOLUTION</t>
  </si>
  <si>
    <t>TRASLADO DE UTILIDADES</t>
  </si>
  <si>
    <t>NOMINA JUNIO</t>
  </si>
  <si>
    <t>TRASLADO A AGENCIA X</t>
  </si>
  <si>
    <t>REPARTO UTILIDADES</t>
  </si>
  <si>
    <t>TIPO DE MOVIMIENTO</t>
  </si>
  <si>
    <t>SALIDA</t>
  </si>
  <si>
    <t>INGRESO</t>
  </si>
  <si>
    <t>UTILIDADES L6</t>
  </si>
  <si>
    <t>SALIDA CONTABLE</t>
  </si>
  <si>
    <t>INGRESO CONTABLE</t>
  </si>
  <si>
    <t>UTILIDAD TOTAL L7</t>
  </si>
  <si>
    <t>IMPORTE CONTABLE</t>
  </si>
  <si>
    <t>Suma de MOVIMIENTOS TOTALES</t>
  </si>
  <si>
    <t>UTILIDAD A JUN 30</t>
  </si>
  <si>
    <t>UTILIDAD A JUNIO 30</t>
  </si>
  <si>
    <t>[ADRIANA] UTILIDAD A JUN 30</t>
  </si>
  <si>
    <t>[ADRIANA] UTILIDAD A JUNIO 30</t>
  </si>
  <si>
    <t>[GERSSON] UTILIDADES L6</t>
  </si>
  <si>
    <t>[GERSSON] UTILIDADES L7</t>
  </si>
  <si>
    <t>FONDO LIBRE</t>
  </si>
  <si>
    <t>UTILIDADES A 15 DE JULIO</t>
  </si>
  <si>
    <t>[INFOPRODUCTOS X] UTILIDADES 15 JUN</t>
  </si>
  <si>
    <t>UTILIDADES A 15 JULIO</t>
  </si>
  <si>
    <t>[GERSSON] UTILIDAD VD</t>
  </si>
  <si>
    <t>NOMINA JULIO</t>
  </si>
  <si>
    <t>TRASLADO DESDE FONDO LIBRE</t>
  </si>
  <si>
    <t>REPOSICION PERDIDAS/INVERSIONES</t>
  </si>
  <si>
    <t>REPOSICIÓN</t>
  </si>
  <si>
    <t>PAGO A FRANCISCO</t>
  </si>
  <si>
    <t>RETIRO DINERO</t>
  </si>
  <si>
    <t>Card charge (FACEBK *RAFLLSGW22)</t>
  </si>
  <si>
    <t>Card charge (FACEBK *KVPEFSYV22)</t>
  </si>
  <si>
    <t>Card charge (FACEBK *Z36XGSGW22)</t>
  </si>
  <si>
    <t>Card charge (FACEBK *AU5VFTUV22)</t>
  </si>
  <si>
    <t>Card charge (FACEBK *BZBTHSYV22)</t>
  </si>
  <si>
    <t>Card charge (FACEBK *ATG3GTCW22)</t>
  </si>
  <si>
    <t>Card charge (FACEBK *5UC9BT8W22)</t>
  </si>
  <si>
    <t>Card charge (FACEBK *AU46RSYV22)</t>
  </si>
  <si>
    <t>Card charge (FACEBK *TK6NSTUW22)</t>
  </si>
  <si>
    <t>Card charge (FACEBK *FU6LWTUW22)</t>
  </si>
  <si>
    <t>Card charge (FACEBK *WPMRZTUV22)</t>
  </si>
  <si>
    <t>Card charge (FACEBK *KSDS9T4W22)</t>
  </si>
  <si>
    <t>Card charge (FACEBK *QRURZTUW22)</t>
  </si>
  <si>
    <t>Card charge (FACEBK *5HQ27T4W22)</t>
  </si>
  <si>
    <t>Card charge (FACEBK *D6YEQUGPX2)</t>
  </si>
  <si>
    <t>Card charge (FACEBK *76GVPT8W22)</t>
  </si>
  <si>
    <t>Card charge (FACEBK *2FQU3UUV22)</t>
  </si>
  <si>
    <t>Card charge (FACEBK *7ZM9YTCW22)</t>
  </si>
  <si>
    <t>Card charge (FACEBK *TWZDAUUW22)</t>
  </si>
  <si>
    <t>Card charge (FACEBK *984M9TGW22)</t>
  </si>
  <si>
    <t>Card charge (FACEBK *XRB8AUQW22)</t>
  </si>
  <si>
    <t>Card charge (FACEBK *QJF7WT8W22)</t>
  </si>
  <si>
    <t>Card charge (FACEBK *552HFTGW22)</t>
  </si>
  <si>
    <t>Card charge (FACEBK *VMAN6W4PX2)</t>
  </si>
  <si>
    <t>Card charge (FACEBK *M9JKGTGW22)</t>
  </si>
  <si>
    <t>Card charge (FACEBK *49ENFUQW22)</t>
  </si>
  <si>
    <t>Card charge (FACEBK *M7VVEUQW22)</t>
  </si>
  <si>
    <t>Card charge (FACEBK *Q78KGUUW22)</t>
  </si>
  <si>
    <t>Card charge (FACEBK *GFY83U8W22)</t>
  </si>
  <si>
    <t>Card charge (FACEBK *P3JLLUUV22)</t>
  </si>
  <si>
    <t>Card charge (FACEBK *D5NSCUCW22)</t>
  </si>
  <si>
    <t>Card charge (FACEBK *CK3XFTYV22)</t>
  </si>
  <si>
    <t>Card charge (FACEBK *5D2AJTLW22)</t>
  </si>
  <si>
    <t>Card charge (FACEBK *97S48U8W22)</t>
  </si>
  <si>
    <t>Card charge (FACEBK *7G3P8U8W22)</t>
  </si>
  <si>
    <t>Card charge (FACEBK *CSSBTUUW22)</t>
  </si>
  <si>
    <t>Card charge (FACEBK *JEYSLTLW22)</t>
  </si>
  <si>
    <t>Card charge (FACEBK *YCUGMTYV22)</t>
  </si>
  <si>
    <t>Card charge (FACEBK *HVU9PTLW22)</t>
  </si>
  <si>
    <t>Card charge (FACEBK *5QTFPUCW22)</t>
  </si>
  <si>
    <t>Card charge (FACEBK *SHDQPU8W22)</t>
  </si>
  <si>
    <t>Card charge (FACEBK *RKM59U4W22)</t>
  </si>
  <si>
    <t>Card charge (FACEBK *Z39K8VUW22)</t>
  </si>
  <si>
    <t>Card charge (FACEBK *5W2W4VCW22)</t>
  </si>
  <si>
    <t>Card charge (FACEBK *X3D4QU4W22)</t>
  </si>
  <si>
    <t>Card charge (FACEBK *UWEWDVUV22)</t>
  </si>
  <si>
    <t>Card charge (FACEBK *LGU2PVUW22)</t>
  </si>
  <si>
    <t>Card charge (FACEBK *MQGEHVQW22)</t>
  </si>
  <si>
    <t>Card charge (FACEBK *6BC942MSU2)</t>
  </si>
  <si>
    <t>Card charge (FACEBK *3UMC6YQSU2)</t>
  </si>
  <si>
    <t>Card charge (FACEBK *YDZ7SXYSU2)</t>
  </si>
  <si>
    <t>Card charge (FACEBK *WGS9NXCTU2)</t>
  </si>
  <si>
    <t>Card charge (FACEBK *WB776YQSU2)</t>
  </si>
  <si>
    <t>Card charge (FACEBK *RS2K6YQSU2)</t>
  </si>
  <si>
    <t>Card charge (FACEBK *M5LCUW8TU2)</t>
  </si>
  <si>
    <t>Card charge (FACEBK *MCNKRXYSU2)</t>
  </si>
  <si>
    <t>Card charge (FACEBK *KXAFUW4TU2)</t>
  </si>
  <si>
    <t>Card charge (FACEBK *KUMW5YQSU2)</t>
  </si>
  <si>
    <t>Card charge (FACEBK *G9H3NXCTU2)</t>
  </si>
  <si>
    <t>Card charge (FACEBK *EN4RUW4TU2)</t>
  </si>
  <si>
    <t>Card charge (FACEBK *DZLMZWUSU2)</t>
  </si>
  <si>
    <t>Card charge (FACEBK *AY9PRXLTU2)</t>
  </si>
  <si>
    <t>Card charge (FACEBK *8PHRRXLTU2)</t>
  </si>
  <si>
    <t>Card charge (FACEBK *7YNVZWUSU2)</t>
  </si>
  <si>
    <t>Card charge (FACEBK *64L56YQSU2)</t>
  </si>
  <si>
    <t>Card charge (FACEBK *6W3B6YQSU2)</t>
  </si>
  <si>
    <t>Card charge (FACEBK *43HAZWUSU2)</t>
  </si>
  <si>
    <t>Card charge (FACEBK *4YQLUW4TU2)</t>
  </si>
  <si>
    <t>Card charge (FACEBK *34ME6YQSU2)</t>
  </si>
  <si>
    <t>Card charge (FACEBK *2P9L5YQSU2)</t>
  </si>
  <si>
    <t>Card charge (FACEBK *W6QE52HTU2)</t>
  </si>
  <si>
    <t>Card charge (FACEBK *S2LV5YQSU2)</t>
  </si>
  <si>
    <t>Card charge (FACEBK *JZ3GRXLTU2)</t>
  </si>
  <si>
    <t>Card charge (FACEBK *HLFS32MSU2)</t>
  </si>
  <si>
    <t>Card charge (FACEBK *E596SXLTU2)</t>
  </si>
  <si>
    <t>Card charge (FACEBK *CQNM5YQSU2)</t>
  </si>
  <si>
    <t>Card charge (FACEBK *CH876YQSU2)</t>
  </si>
  <si>
    <t>Card charge (FACEBK *BTVMUW4TU2)</t>
  </si>
  <si>
    <t>Card charge (FACEBK *6ATQMVQW22)</t>
  </si>
  <si>
    <t>Card charge (FACEBK *UXA732MSU2)</t>
  </si>
  <si>
    <t>Card charge (FACEBK *RH6452HTU2)</t>
  </si>
  <si>
    <t>Card charge (FACEBK *J7MQMXCTU2)</t>
  </si>
  <si>
    <t>Card charge (FACEBK *B5Z4MXCTU2)</t>
  </si>
  <si>
    <t>Card charge (FACEBK *B42NMXCTU2)</t>
  </si>
  <si>
    <t>Card charge (FACEBK *ZCZJ5YQSU2)</t>
  </si>
  <si>
    <t>Card charge (FACEBK *PKEG5YQSU2)</t>
  </si>
  <si>
    <t>Card charge (FACEBK *JZYMMXCTU2)</t>
  </si>
  <si>
    <t>Card charge (FACEBK *ZZEVXW4TU2)</t>
  </si>
  <si>
    <t>Card charge (FACEBK *752ERXCTU2)</t>
  </si>
  <si>
    <t>Card charge (FACEBK *58W3VXLTU2)</t>
  </si>
  <si>
    <t>Card charge (FACEBK *7V5ZTXYSU2)</t>
  </si>
  <si>
    <t>Card charge (FACEBK *HDAFQVQW22)</t>
  </si>
  <si>
    <t>Card charge (FACEBK *ZLS28YQSU2)</t>
  </si>
  <si>
    <t>Card charge (FACEBK *ZBFPWW4TU2)</t>
  </si>
  <si>
    <t>Card charge (FACEBK *Y7LWTXYSU2)</t>
  </si>
  <si>
    <t>Card charge (FACEBK *T3Q3UXYSU2)</t>
  </si>
  <si>
    <t>Card charge (FACEBK *S8RLXW4TU2)</t>
  </si>
  <si>
    <t>Card charge (FACEBK *QPLB3XUSU2)</t>
  </si>
  <si>
    <t>Card charge (FACEBK *PHPCWW8TU2)</t>
  </si>
  <si>
    <t>Card charge (FACEBK *BZPZQXCTU2)</t>
  </si>
  <si>
    <t>Card charge (FACEBK *85W54XUSU2)</t>
  </si>
  <si>
    <t>Card charge (FACEBK *8E4V52MSU2)</t>
  </si>
  <si>
    <t>Card charge (FACEBK *472VTXLTU2)</t>
  </si>
  <si>
    <t>Card charge (FACEBK *ZSADXW4TU2)</t>
  </si>
  <si>
    <t>Card charge (FACEBK *FFMXTXLTU2)</t>
  </si>
  <si>
    <t>Card charge (FACEBK *DU57UXYSU2)</t>
  </si>
  <si>
    <t>Card charge (FACEBK *59HDTXLTU2)</t>
  </si>
  <si>
    <t>Card charge (FACEBK *S2FYPXCTU2)</t>
  </si>
  <si>
    <t>Card charge (FACEBK *GQUUPXCTU2)</t>
  </si>
  <si>
    <t>Card charge (FACEBK *FXXGTXLTU2)</t>
  </si>
  <si>
    <t>Card charge (FACEBK *DARBWW4TU2)</t>
  </si>
  <si>
    <t>Card charge (FACEBK *822GTXLTU2)</t>
  </si>
  <si>
    <t>Card charge (FACEBK *7SWC72HTU2)</t>
  </si>
  <si>
    <t>Card charge (FACEBK *5JQGWW4TU2)</t>
  </si>
  <si>
    <t>Card charge (FACEBK *ZXBLWW4TU2)</t>
  </si>
  <si>
    <t>Card charge (FACEBK *YNME72HTU2)</t>
  </si>
  <si>
    <t>Card charge (FACEBK *JNJG7YQSU2)</t>
  </si>
  <si>
    <t>Card charge (FACEBK *JKMRPXCTU2)</t>
  </si>
  <si>
    <t>Card charge (FACEBK *GG26WW8TU2)</t>
  </si>
  <si>
    <t>Card charge (FACEBK *ET6JWW8TU2)</t>
  </si>
  <si>
    <t>Card charge (FACEBK *YNWR2XUSU2)</t>
  </si>
  <si>
    <t>Card charge (FACEBK *QLBM6YQSU2)</t>
  </si>
  <si>
    <t>Card charge (FACEBK *GRSH7YQSU2)</t>
  </si>
  <si>
    <t>Card charge (FACEBK *DSHG7YQSU2)</t>
  </si>
  <si>
    <t>Card charge (FACEBK *GXCZ62HTU2)</t>
  </si>
  <si>
    <t>Card charge (FACEBK *CNLWVW8TU2)</t>
  </si>
  <si>
    <t>Card charge (FACEBK *QGE3UXCTU2)</t>
  </si>
  <si>
    <t>Card charge (FACEBK *NX677XUSU2)</t>
  </si>
  <si>
    <t>Card charge (FACEBK *EGZJB2HTU2)</t>
  </si>
  <si>
    <t>Card charge (FACEBK *8472TXCTU2)</t>
  </si>
  <si>
    <t>Card charge (FACEBK *WWSR5XUSU2)</t>
  </si>
  <si>
    <t>Card charge (FACEBK *P7UXNVCW22)</t>
  </si>
  <si>
    <t>Card charge (FACEBK *R2HTTXCTU2)</t>
  </si>
  <si>
    <t>Card charge (FACEBK *GVBPA2HTU2)</t>
  </si>
  <si>
    <t>Card charge (FACEBK *97R9ZW8TU2)</t>
  </si>
  <si>
    <t>Card charge (FACEBK *5N5L6XUSU2)</t>
  </si>
  <si>
    <t>Card charge (FACEBK *AW2C92MSU2)</t>
  </si>
  <si>
    <t>Card charge (FACEBK *69GLVXLTU2)</t>
  </si>
  <si>
    <t>Card charge (FACEBK *DY6HAYQSU2)</t>
  </si>
  <si>
    <t>Card charge (FACEBK *7XG672MSU2)</t>
  </si>
  <si>
    <t>Card charge (FACEBK *EWGL9YQSU2)</t>
  </si>
  <si>
    <t>Card charge (FACEBK *4XLFYW8TU2)</t>
  </si>
  <si>
    <t>Card charge (FACEBK *BZUBYW4TU2)</t>
  </si>
  <si>
    <t>Card charge (FACEBK *3AF62YYSU2)</t>
  </si>
  <si>
    <t>Card charge (FACEBK *26WLC2HTU2)</t>
  </si>
  <si>
    <t>Card charge (FACEBK *VE5GB2MSU2)</t>
  </si>
  <si>
    <t>Card charge (FACEBK *FGB7B2MSU2)</t>
  </si>
  <si>
    <t>Card charge (FACEBK *EP92C2HTU2)</t>
  </si>
  <si>
    <t>Card charge (FACEBK *JWVGB2MSU2)</t>
  </si>
  <si>
    <t>Card charge (FACEBK *F3ZGDYQSU2)</t>
  </si>
  <si>
    <t>Card charge (FACEBK *GTXMC2HTU2)</t>
  </si>
  <si>
    <t>Card charge (FACEBK *34G5A2MSU2)</t>
  </si>
  <si>
    <t>Card charge (FACEBK *Z9BRKW83D2)</t>
  </si>
  <si>
    <t>Card charge (FACEBK *TU93YXYSU2)</t>
  </si>
  <si>
    <t>Card charge (FACEBK *NGHPXXLTU2)</t>
  </si>
  <si>
    <t>Card charge (FACEBK *AFJUXWG3D2)</t>
  </si>
  <si>
    <t>Card charge (FACEBK *4CZ2C2HTU2)</t>
  </si>
  <si>
    <t>Card charge (FACEBK *QNQ9CYQSU2)</t>
  </si>
  <si>
    <t>Card charge (FACEBK *KWK2YXLTU2)</t>
  </si>
  <si>
    <t>Card charge (FACEBK *UP5LE2HTU2)</t>
  </si>
  <si>
    <t>Card charge (FACEBK *YTQZ6X4TU2)</t>
  </si>
  <si>
    <t>Card charge (FACEBK *FV3Y2YYSU2)</t>
  </si>
  <si>
    <t>Card charge (FACEBK *5ZPP4X8TU2)</t>
  </si>
  <si>
    <t>Card charge (FACEBK *ZUHF5X4TU2)</t>
  </si>
  <si>
    <t>Card charge (FACEBK *SH9CAXL3D2)</t>
  </si>
  <si>
    <t>Card charge (FACEBK *6EGAZVUW22)</t>
  </si>
  <si>
    <t>Card charge (FACEBK *T28UEYQSU2)</t>
  </si>
  <si>
    <t>Card charge (FACEBK *F3FKYXCTU2)</t>
  </si>
  <si>
    <t>Card charge (FACEBK *2UQVH2MSU2)</t>
  </si>
  <si>
    <t>Card charge (FACEBK *PLWT6XC3D2)</t>
  </si>
  <si>
    <t>Card charge (FACEBK *MMY2XVCW22)</t>
  </si>
  <si>
    <t>Card charge (FACEBK *L5EG3WCW22)</t>
  </si>
  <si>
    <t>Card charge (FACEBK *UX5J8X4TU2)</t>
  </si>
  <si>
    <t>Card charge (FACEBK *R3J74YU2D2)</t>
  </si>
  <si>
    <t>Card charge (FACEBK *XVHWCWUW22)</t>
  </si>
  <si>
    <t>Card charge (FACEBK *BHG4DVGW22)</t>
  </si>
  <si>
    <t>Card charge (FACEBK *6X36EWUV22)</t>
  </si>
  <si>
    <t>Card charge (FACEBK *TG7K4W8W22)</t>
  </si>
  <si>
    <t>Card charge (FACEBK *P7MBPV4W22)</t>
  </si>
  <si>
    <t>Card charge (FACEBK *TNSTKYQ3D2)</t>
  </si>
  <si>
    <t>Card charge (FACEBK *TGM4MXG3D2)</t>
  </si>
  <si>
    <t>Card charge (FACEBK *2EWSHVYV22)</t>
  </si>
  <si>
    <t>Card charge (FACEBK *BXB5LXG3D2)</t>
  </si>
  <si>
    <t>Card charge (FACEBK *8RYFLYYSU2)</t>
  </si>
  <si>
    <t>Card charge (FACEBK *LBHQSYQ3D2)</t>
  </si>
  <si>
    <t>Card charge (FACEBK *XU4KQWQW22)</t>
  </si>
  <si>
    <t>Card charge (FACEBK *R6AP9YYPX2)</t>
  </si>
  <si>
    <t>Card charge (FACEBK *KZ6KBZU3D2)</t>
  </si>
  <si>
    <t>Card charge (FACEBK *XUWMQWUW22)</t>
  </si>
  <si>
    <t>Card charge (FACEBK *H3ZJBXY2D2)</t>
  </si>
  <si>
    <t>Card charge (FACEBK *9A2BQVGW22)</t>
  </si>
  <si>
    <t>Card charge (DLOCAL)</t>
  </si>
  <si>
    <t>Card charge (GRAL WEB EBANX COMPRA)</t>
  </si>
  <si>
    <t>Card charge (HOSTINGER* HOSTINGER.C)</t>
  </si>
  <si>
    <t>Card charge (GOOGLE *Google One)</t>
  </si>
  <si>
    <t>Card charge (CURSOR USAGE MID  AUG)</t>
  </si>
  <si>
    <t>Card charge (CURSOR USAGE  JUL)</t>
  </si>
  <si>
    <t>Card charge (hostinger.com)</t>
  </si>
  <si>
    <t>Payment to Bancolombia (6138)</t>
  </si>
  <si>
    <t>Card charge (CLOUDFLARE)</t>
  </si>
  <si>
    <t>Card charge (WP MEDIA)</t>
  </si>
  <si>
    <t>Card charge (CHATWOOT)</t>
  </si>
  <si>
    <t>Card charge (DLO*Hotmart)</t>
  </si>
  <si>
    <t>CHATWOOT</t>
  </si>
  <si>
    <t>CLOUDFLARE</t>
  </si>
  <si>
    <t>GOOGLE ONE</t>
  </si>
  <si>
    <t>SENDFLOW</t>
  </si>
  <si>
    <t>WPROCKET</t>
  </si>
  <si>
    <t>TERENCE</t>
  </si>
  <si>
    <t>VENTAS AL 31 DE AGOSTO</t>
  </si>
  <si>
    <t>ARZA UÑAS L4</t>
  </si>
  <si>
    <t>Card charge (FACEBK *X9NRDQQW22)</t>
  </si>
  <si>
    <t>Card charge (FACEBK *4GAFHQUW22)</t>
  </si>
  <si>
    <t>Card charge (FACEBK *Z77VWVGW22)</t>
  </si>
  <si>
    <t>Card charge (FACEBK *ZUZ6ZLUK52)</t>
  </si>
  <si>
    <t>PAGO NOMINA AGOSTO</t>
  </si>
  <si>
    <t>PAGO DEUDA VCAPITAL</t>
  </si>
  <si>
    <t>DEUDA VCAPITAL</t>
  </si>
  <si>
    <t>Card charge (FACEBK *UQQ7QWCW22)</t>
  </si>
  <si>
    <t>Card charge (FACEBK *RWQJVVLW22)</t>
  </si>
  <si>
    <t>Card charge (FACEBK *HGFMYWUV22)</t>
  </si>
  <si>
    <t>Card charge (FACEBK *TDJX2WYV22)</t>
  </si>
  <si>
    <t>Card charge (FACEBK *9LG64XCW22)</t>
  </si>
  <si>
    <t>Card charge (FACEBK *NE9M4WLW22)</t>
  </si>
  <si>
    <t>Card charge (FACEBK *LYV47XQW22)</t>
  </si>
  <si>
    <t>Card charge (FACEBK *Q2586WYV22)</t>
  </si>
  <si>
    <t>Card charge (FACEBK *VB2B9WGW22)</t>
  </si>
  <si>
    <t>Card charge (FACEBK *66BH6WLW22)</t>
  </si>
  <si>
    <t>Card charge (FACEBK *M6PHAWYV22)</t>
  </si>
  <si>
    <t>Card charge (FACEBK *EXSZ9WYV22)</t>
  </si>
  <si>
    <t>Card charge (FACEBK *TA6HEXUW22)</t>
  </si>
  <si>
    <t>Card charge (FACEBK *EEQGCXQW22)</t>
  </si>
  <si>
    <t>Card charge (FACEBK *5E96DXUV22)</t>
  </si>
  <si>
    <t>Card charge (FACEBK *J2V6CWLW22)</t>
  </si>
  <si>
    <t>Card charge (FACEBK *C8ARGXUV22)</t>
  </si>
  <si>
    <t>Card charge (FACEBK *P4PKFXUV22)</t>
  </si>
  <si>
    <t>Card charge (FACEBK *CNN9HXQW22)</t>
  </si>
  <si>
    <t>Card charge (FACEBK *QS6YLWGW22)</t>
  </si>
  <si>
    <t>Card charge (FACEBK *5TUE8X8W22)</t>
  </si>
  <si>
    <t>Card charge (FACEBK *2XEBEXCW22)</t>
  </si>
  <si>
    <t>Card charge (FACEBK *FKN7WW4W22)</t>
  </si>
  <si>
    <t>Card charge (FACEBK *PAGJVWGW22)</t>
  </si>
  <si>
    <t>Card charge (FACEBK *8CNTSXUW22)</t>
  </si>
  <si>
    <t>Card charge (FACEBK *2KCKPWYV22)</t>
  </si>
  <si>
    <t>Card charge (FACEBK *9Y4NQXUV22)</t>
  </si>
  <si>
    <t>Card charge (FACEBK *MWVUJWLW22)</t>
  </si>
  <si>
    <t>Card charge (FACEBK *6E9NTWYV22)</t>
  </si>
  <si>
    <t>Card charge (FACEBK *E5RLPWLW22)</t>
  </si>
  <si>
    <t>Card charge (FACEBK *K8X5XXUV22)</t>
  </si>
  <si>
    <t>Card charge (COCOCUT)</t>
  </si>
  <si>
    <t>Card charge (DLO*GOOGLE Google One)</t>
  </si>
  <si>
    <t>Card charge (CURSOR USAGE  AUG)</t>
  </si>
  <si>
    <t>Card charge (SCALABY MEDIA LLC)</t>
  </si>
  <si>
    <t>EXTENSION VIDEOS</t>
  </si>
  <si>
    <t>Card charge (FACEBK *Y73WXWYV22)</t>
  </si>
  <si>
    <t>Card charge (FACEBK *V46GWWYV22)</t>
  </si>
  <si>
    <t>Card charge (FACEBK *22R84YUW22)</t>
  </si>
  <si>
    <t>Card charge (FACEBK *GVMUBX4W22)</t>
  </si>
  <si>
    <t>Card charge (FACEBK *VW33NX8W22)</t>
  </si>
  <si>
    <t>Card charge (FACEBK *ZK6AAX4W22)</t>
  </si>
  <si>
    <t>Card charge (FACEBK *B98M5XYV22)</t>
  </si>
  <si>
    <t>Card charge (FACEBK *86TCZWLW22)</t>
  </si>
  <si>
    <t>Card charge (FACEBK *THRH4YQW22)</t>
  </si>
  <si>
    <t>Card charge (FACEBK *DGNQ3YQW22)</t>
  </si>
  <si>
    <t>Card charge (FACEBK *622U7XGW22)</t>
  </si>
  <si>
    <t>Card charge (FACEBK *T3CUXWLW22)</t>
  </si>
  <si>
    <t>Card charge (FACEBK *VGTVFX4W22)</t>
  </si>
  <si>
    <t>Card charge (FACEBK *V89KL2VUQ2)</t>
  </si>
  <si>
    <t>Card charge (FACEBK *49CH525VQ2)</t>
  </si>
  <si>
    <t>Card charge (FACEBK *8ZLXBYUW22)</t>
  </si>
  <si>
    <t>Card charge (FACEBK *5W8L9XYV22)</t>
  </si>
  <si>
    <t>Card charge (FACEBK *U4DDCYUW22)</t>
  </si>
  <si>
    <t>Card charge (FACEBK *95GW829VQ2)</t>
  </si>
  <si>
    <t>Card charge (FACEBK *HCADL3DUQ2)</t>
  </si>
  <si>
    <t>Card charge (FACEBK *TD8EY2HUQ2)</t>
  </si>
  <si>
    <t>Card charge (FACEBK *L4GE829VQ2)</t>
  </si>
  <si>
    <t>Card charge (FACEBK *JKBP425VQ2)</t>
  </si>
  <si>
    <t>Card charge (FACEBK *GMLDJX4W22)</t>
  </si>
  <si>
    <t>Card charge (FACEBK *2SK5LZL3D2)</t>
  </si>
  <si>
    <t>Card charge (FACEBK *V4PY3YCW22)</t>
  </si>
  <si>
    <t>Card charge (FACEBK *LM46J3DUQ2)</t>
  </si>
  <si>
    <t>Card charge (FACEBK *T8PE4XLW22)</t>
  </si>
  <si>
    <t>Card charge (FACEBK *E5RFGX4W22)</t>
  </si>
  <si>
    <t>Card charge (HEYGEN TECHNOLOGY INC.)</t>
  </si>
  <si>
    <t>HEYGEN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</si>
  <si>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</si>
  <si>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</si>
  <si>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</si>
  <si>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</si>
  <si>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</si>
  <si>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</si>
  <si>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</si>
  <si>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</si>
  <si>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</si>
  <si>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Card charge (FACEBK *HTTLEYUV22)</t>
  </si>
  <si>
    <t>Card charge (FACEBK *VE9BP3DUQ2)</t>
  </si>
  <si>
    <t>Card charge (FACEBK *9UJS7YCW22)</t>
  </si>
  <si>
    <t>Card charge (FACEBK *6E5T73MUQ2)</t>
  </si>
  <si>
    <t>Card charge (FACEBK *6ZXB7YCW22)</t>
  </si>
  <si>
    <t>Card charge (FACEBK *BVTMZ2HUQ2)</t>
  </si>
  <si>
    <t>Card charge (FACEBK *YXND6YCW22)</t>
  </si>
  <si>
    <t>Card charge (FACEBK *VDSQL2VUQ2)</t>
  </si>
  <si>
    <t>Card charge (FACEBK *A87BR2VUQ2)</t>
  </si>
  <si>
    <t>Card charge (FACEBK *Y9HQPX4W22)</t>
  </si>
  <si>
    <t>Card charge (FACEBK *RB8AKXGW22)</t>
  </si>
  <si>
    <t>Card charge (FACEBK *RUVRH2DVQ2)</t>
  </si>
  <si>
    <t>Card charge (FACEBK *578X9XLW22)</t>
  </si>
  <si>
    <t>Card charge (FACEBK *Y25DSX4W22)</t>
  </si>
  <si>
    <t>Card charge (FACEBK *LL6USX4W22)</t>
  </si>
  <si>
    <t>Card charge (FACEBK *C29SJYUV22)</t>
  </si>
  <si>
    <t>Card charge (FACEBK *J4MXT3DUQ2)</t>
  </si>
  <si>
    <t>Card charge (FACEBK *DZB6DXLW22)</t>
  </si>
  <si>
    <t>Card charge (FACEBK *3AKACXLW22)</t>
  </si>
  <si>
    <t>Card charge (FACEBK *L2SJ6Y8W22)</t>
  </si>
  <si>
    <t>Card charge (FACEBK *QDJFSXGW22)</t>
  </si>
  <si>
    <t>Card charge (FACEBK *J4FMQYUW22)</t>
  </si>
  <si>
    <t>Card charge (FACEBK *MGSWWX4W22)</t>
  </si>
  <si>
    <t>Card charge (FACEBK *ZSM9LYQW22)</t>
  </si>
  <si>
    <t>Card charge (FACEBK *HZJYMYUV22)</t>
  </si>
  <si>
    <t>Card charge (FACEBK *DJ76FYCW22)</t>
  </si>
  <si>
    <t>Card charge (FACEBK *28ZLUXGW22)</t>
  </si>
  <si>
    <t>Card charge (FACEBK *U4Q5RYUV22)</t>
  </si>
  <si>
    <t>Card charge (FACEBK *N37NTYQW22)</t>
  </si>
  <si>
    <t>Card charge (FACEBK *6YBN4Y4W22)</t>
  </si>
  <si>
    <t>Card charge (FACEBK *2SJUVYUW22)</t>
  </si>
  <si>
    <t>Card charge (FACEBK *H8DESXYV22)</t>
  </si>
  <si>
    <t>Card charge (FACEBK *X96WDY8W22)</t>
  </si>
  <si>
    <t>Card charge (FACEBK *BZMGMXLW22)</t>
  </si>
  <si>
    <t>Card charge (FACEBK *3NGSYYUV22)</t>
  </si>
  <si>
    <t>Card charge (FACEBK *9WKKRYCW22)</t>
  </si>
  <si>
    <t>Card charge (FACEBK *SQRUSXLW22)</t>
  </si>
  <si>
    <t>Card charge (FACEBK *EQY5ZXGW22)</t>
  </si>
  <si>
    <t>Card charge (FACEBK *JN8PZXYV22)</t>
  </si>
  <si>
    <t>Card charge (FACEBK *9KLGVXLW22)</t>
  </si>
  <si>
    <t>Card charge (FACEBK *5Y9XUXLW22)</t>
  </si>
  <si>
    <t>Card charge (FACEBK *WY2MWYQW22)</t>
  </si>
  <si>
    <t>Card charge (FACEBK *6YC74YYV22)</t>
  </si>
  <si>
    <t>Card charge (FACEBK *CP6B5ZUW22)</t>
  </si>
  <si>
    <t>Card charge (FACEBK *SNHSNY8W22)</t>
  </si>
  <si>
    <t>Card charge (FACEBK *2JG9GY4W22)</t>
  </si>
  <si>
    <t>Card charge (FACEBK *PNM78ZUV22)</t>
  </si>
  <si>
    <t>Card charge (FACEBK *QKB2EY4W22)</t>
  </si>
  <si>
    <t>Card charge (FACEBK *9RJ79ZQW22)</t>
  </si>
  <si>
    <t>Card charge (FACEBK *VGXSKY4W22)</t>
  </si>
  <si>
    <t>Card charge (FACEBK *QTY6AZUV22)</t>
  </si>
  <si>
    <t>Card charge (FACEBK *7LLLBYYV22)</t>
  </si>
  <si>
    <t>Card charge (FACEBK *8RH3GYYV22)</t>
  </si>
  <si>
    <t>Card charge (FACEBK *AP7YDYYV22)</t>
  </si>
  <si>
    <t>Card charge (FACEBK *CJQYEZUV22)</t>
  </si>
  <si>
    <t>Card charge (FACEBK *6GLQPYGW22)</t>
  </si>
  <si>
    <t>Card charge (FACEBK *F67ZSY4W22)</t>
  </si>
  <si>
    <t>Card charge (FACEBK *YQDQLZQW22)</t>
  </si>
  <si>
    <t>Card charge (FACEBK *VACQNYYV22)</t>
  </si>
  <si>
    <t>Card charge (FACEBK *QS5VUYGW22)</t>
  </si>
  <si>
    <t>Card charge (FACEBK *3YLTTZQW22)</t>
  </si>
  <si>
    <t>Card charge (FACEBK *FTZNUZUV22)</t>
  </si>
  <si>
    <t>Card charge (FACEBK *M8JJ3ZGW22)</t>
  </si>
  <si>
    <t>Card charge (FACEBK *BB2QVZ8W22)</t>
  </si>
  <si>
    <t>Card charge (FACEBK *RWGC8ZYV22)</t>
  </si>
  <si>
    <t>Card charge (FACEBK *Y4UN42RW22)</t>
  </si>
  <si>
    <t>Card charge (FACEBK *UBA22ZYV22)</t>
  </si>
  <si>
    <t>Card charge (FACEBK *RTAXD2VV22)</t>
  </si>
  <si>
    <t>Card charge (FACEBK *VKEQC2DW22)</t>
  </si>
  <si>
    <t>Card charge (FACEBK *CX2TG2VW22)</t>
  </si>
  <si>
    <t>Card charge (FACEBK *8VM9F2VW22)</t>
  </si>
  <si>
    <t>GERSSON L9</t>
  </si>
  <si>
    <t>Card charge (CURSOR USAGE MID  SEP)</t>
  </si>
  <si>
    <t>Card charge (PANDAVIDEO.COM)</t>
  </si>
  <si>
    <t>Card charge (NINTENDOPROJECT.COM)</t>
  </si>
  <si>
    <t>Card charge (GOOGLE *GSUITE_automsc)</t>
  </si>
  <si>
    <t>Card charge (HOTMART PTP)</t>
  </si>
  <si>
    <t>Card charge (CURSOR USAGE  SEP)</t>
  </si>
  <si>
    <t>Card charge (PAYPAL *CAPCUT)</t>
  </si>
  <si>
    <t>Card charge (DLO*hostinger.co)</t>
  </si>
  <si>
    <t>Card charge (OPENROUTER, INC)</t>
  </si>
  <si>
    <t>PRESTAMOS SANTIAGO</t>
  </si>
  <si>
    <t>PAGO PLATAFORMA COPY</t>
  </si>
  <si>
    <t>CAPCUT</t>
  </si>
  <si>
    <t>PANDAVIDEO</t>
  </si>
  <si>
    <t>JUEGO</t>
  </si>
  <si>
    <t>PLATAFORMA COPY</t>
  </si>
  <si>
    <t>OPENROUTER</t>
  </si>
  <si>
    <t>oct</t>
  </si>
  <si>
    <t>TRASLADOS UTILIDADES</t>
  </si>
  <si>
    <t>TRASLADO UTILIDADES</t>
  </si>
  <si>
    <t>TRASLADO UTILIDADES ADRIANA</t>
  </si>
  <si>
    <t>VENTAS DESDE EL 16 JULIO AL 30 DE SEPTIEMBRE</t>
  </si>
  <si>
    <t>VENTAS DESDE EL 1 OCTUBRE AL 15 OCTUBRE</t>
  </si>
  <si>
    <t>VENTAS DEL 1 AL 30 DE SEPTIEMBRE</t>
  </si>
  <si>
    <t>TRASLADO UTILIDADES GERSSON L8</t>
  </si>
  <si>
    <t>TRASLADO UTILIDADES NELLY</t>
  </si>
  <si>
    <t>TRASLADO UTILIDADES GIORGIO</t>
  </si>
  <si>
    <t>TRASLADO UTILIDADES INFOPRODUCTOS X</t>
  </si>
  <si>
    <t>TRASLADO UTILIDADES VCAPITALL1</t>
  </si>
  <si>
    <t>UTILIDADES GERSSON L8</t>
  </si>
  <si>
    <t>UTILIDADES GIORGIO L1</t>
  </si>
  <si>
    <t>UTILIDADES NELLY</t>
  </si>
  <si>
    <t>UTILIDADES VCAPITAL L1</t>
  </si>
  <si>
    <t>UTILIDADES INFOPRODUCTOS CORTE 15 OCT</t>
  </si>
  <si>
    <t>[ADRIANA] UTILIDADES 15 MAYO</t>
  </si>
  <si>
    <t>[ADRIANA] UTILIDADES 15 OCTUBRE</t>
  </si>
  <si>
    <t>TRASLADO EXCEDENTE AGENCIA X</t>
  </si>
  <si>
    <t>TRASLADO EXCEDENTE PARA REPARTIR</t>
  </si>
  <si>
    <t>EXCEDENTE AGENCIA X 15 OCTUBRE</t>
  </si>
  <si>
    <t>REPARTICIÓN DANIEL MARTINEZ (14%)</t>
  </si>
  <si>
    <t>REPARTO UTILIDADES SOCIOS</t>
  </si>
  <si>
    <t>Card charge (FACEBK *7JUMFZLW22)</t>
  </si>
  <si>
    <t>Card charge (FACEBK *K8Z6WZ4W22)</t>
  </si>
  <si>
    <t>Card charge (FACEBK *9V2SL2RW22)</t>
  </si>
  <si>
    <t>Card charge (FACEBK *8VYWR2RW22)</t>
  </si>
  <si>
    <t>Card charge (FACEBK *7Q7DSZYV22)</t>
  </si>
  <si>
    <t>Card charge (FACEBK *V5FZ64M3D2)</t>
  </si>
  <si>
    <t>Card charge (FACEBK *2AYQM5MUQ2)</t>
  </si>
  <si>
    <t>Card charge (FACEBK *UTQ2S2VW22)</t>
  </si>
  <si>
    <t>Card charge (FACEBK *FQGAR2VW22)</t>
  </si>
  <si>
    <t>Card charge (FACEBK *BXYJPZYV22)</t>
  </si>
  <si>
    <t>Card charge (FACEBK *DYNZP2VW22)</t>
  </si>
  <si>
    <t>Card charge (STAPE  INC.)</t>
  </si>
  <si>
    <t>Card charge (FACEBK *9B4U9453D2)</t>
  </si>
  <si>
    <t>Card charge (FACEBK *ENGR22HW22)</t>
  </si>
  <si>
    <t>Card charge (FACEBK *C7JYP2DW22)</t>
  </si>
  <si>
    <t>Card charge (FACEBK *NRGAN4V2D2)</t>
  </si>
  <si>
    <t>Card charge (FACEBK *CPT3V4R3D2)</t>
  </si>
  <si>
    <t>Card charge (FACEBK *NAXY25R3D2)</t>
  </si>
  <si>
    <t>Card charge (FACEBK *U8QN52HW22)</t>
  </si>
  <si>
    <t>Card charge (FACEBK *7YAHC4M3D2)</t>
  </si>
  <si>
    <t>Card charge (FACEBK *H8A244D3D2)</t>
  </si>
  <si>
    <t>Card charge (FACEBK *BS6AR393D2)</t>
  </si>
  <si>
    <t>Card charge (FACEBK *4WJ834D3D2)</t>
  </si>
  <si>
    <t>Card charge (FACEBK *YCH8Z2VV22)</t>
  </si>
  <si>
    <t>Card charge (FACEBK *8TYP53VV22)</t>
  </si>
  <si>
    <t>Card charge (FACEBK *YQUE74D3D2)</t>
  </si>
  <si>
    <t>Card charge (FACEBK *CGDF93VW22)</t>
  </si>
  <si>
    <t>Card charge (FACEBK *LGFU63VW22)</t>
  </si>
  <si>
    <t>Card charge (FACEBK *GTVDV5V3D2)</t>
  </si>
  <si>
    <t>Card charge (FACEBK *ZL84B2ZV22)</t>
  </si>
  <si>
    <t>Card charge (FACEBK *3N66M4M3D2)</t>
  </si>
  <si>
    <t>Card charge (FACEBK *2QXK43DW22)</t>
  </si>
  <si>
    <t>Card charge (CURSOR  AI POWERED IDE)</t>
  </si>
  <si>
    <t>Card charge (FACEBK *P4TCM5M2X2)</t>
  </si>
  <si>
    <t>Card charge (FACEBK *Z24395V2D2)</t>
  </si>
  <si>
    <t>Card charge (FACEBK *2EDQE3RW22)</t>
  </si>
  <si>
    <t>Card charge (FACEBK *CKG3M2HW22)</t>
  </si>
  <si>
    <t>Card charge (FACEBK *EAX7X4V2X2)</t>
  </si>
  <si>
    <t>Card charge (FACEBK *6MXQY29W22)</t>
  </si>
  <si>
    <t>Card charge (FACEBK *WRS6P25W22)</t>
  </si>
  <si>
    <t>Card charge (FACEBK *HXKP3652X2)</t>
  </si>
  <si>
    <t>Payment to Gersson Lopez</t>
  </si>
  <si>
    <t>Card charge (FACEBK *PQKYY4V2X2)</t>
  </si>
  <si>
    <t>Card charge (FACEBK *V6DGL3VW22)</t>
  </si>
  <si>
    <t>Card charge (FACEBK *KU7C85VZW2)</t>
  </si>
  <si>
    <t>Card charge (FACEBK *UPYJ8692X2)</t>
  </si>
  <si>
    <t>Card charge (FACEBK *WQCMH2MW22)</t>
  </si>
  <si>
    <t>Card charge (FACEBK *JQEGR4H2X2)</t>
  </si>
  <si>
    <t>Card charge (FACEBK *XM4EM3VW22)</t>
  </si>
  <si>
    <t>Card charge (FACEBK *VGFUA4Z2D2)</t>
  </si>
  <si>
    <t>Card charge (FACEBK *LMFRG493D2)</t>
  </si>
  <si>
    <t>Card charge (FACEBK *RYCAS5D2X2)</t>
  </si>
  <si>
    <t>Card charge (FACEBK *MZTRA39W22)</t>
  </si>
  <si>
    <t>Card charge (FACEBK *7M2UX5M2X2)</t>
  </si>
  <si>
    <t>Card charge (FACEBK *KH8SU3VV22)</t>
  </si>
  <si>
    <t>Card charge (FACEBK *45CDJ652X2)</t>
  </si>
  <si>
    <t>Card charge (FACEBK *6ZRHX3VV22)</t>
  </si>
  <si>
    <t>Card charge (FACEBK *MBNP23HW22)</t>
  </si>
  <si>
    <t>Card charge (FACEBK *WKW9Y4D3D2)</t>
  </si>
  <si>
    <t>Card charge (FACEBK *Y4T826D2X2)</t>
  </si>
  <si>
    <t>Card charge (FACEBK *VXWPP6V3D2)</t>
  </si>
  <si>
    <t>Card charge (FACEBK *HWQN73HW22)</t>
  </si>
  <si>
    <t>Card charge (FACEBK *8L9ZS6V3D2)</t>
  </si>
  <si>
    <t>Card charge (FACEBK *BRQ9Y3RW22)</t>
  </si>
  <si>
    <t>Card charge (FACEBK *H7EK935W22)</t>
  </si>
  <si>
    <t>Card charge (FACEBK *UN2CB5D3D2)</t>
  </si>
  <si>
    <t>Card charge (FACEBK *JTV8W493D2)</t>
  </si>
  <si>
    <t>Card charge (FACEBK *48M4G35W22)</t>
  </si>
  <si>
    <t>Card charge (FACEBK *6X3KQ39W22)</t>
  </si>
  <si>
    <t>Card charge (FACEBK *YMHES5VZW2)</t>
  </si>
  <si>
    <t>Card charge (FACEBK *BCTN66D2X2)</t>
  </si>
  <si>
    <t>Card charge (FACEBK *BX6GC6M2X2)</t>
  </si>
  <si>
    <t>Payment to Regent Bank (7498)</t>
  </si>
  <si>
    <t>Card charge (FACEBK *H59AD6M2X2)</t>
  </si>
  <si>
    <t>Card charge (FACEBK *4N7593ZV22)</t>
  </si>
  <si>
    <t>Consumo con la tarjeta (HOTMART)</t>
  </si>
  <si>
    <t>Consumo con la tarjeta (DLO*GOOGLE Google One)</t>
  </si>
  <si>
    <t>nov</t>
  </si>
  <si>
    <t>REPARTICIÓN SANTIAGO (28,66%)</t>
  </si>
  <si>
    <t>REPARTICIÓN FRAN (28,66%)</t>
  </si>
  <si>
    <t>REPARTICIÓN JUANCA (28,66%)</t>
  </si>
  <si>
    <t>AJUSTE PAGO NOMINA</t>
  </si>
  <si>
    <t>Card charge (FACEBK *3J7DD5D3D2)</t>
  </si>
  <si>
    <t>Card charge (FACEBK *BSL7U5ZZW2)</t>
  </si>
  <si>
    <t>Card charge (FACEBK *GL7YD4VW22)</t>
  </si>
  <si>
    <t>Card charge (FACEBK *V6SBG7R2X2)</t>
  </si>
  <si>
    <t>Card charge (FACEBK *3DWFM6M2X2)</t>
  </si>
  <si>
    <t>Card charge (FACEBK *TDNCC4DW22)</t>
  </si>
  <si>
    <t>Card charge (FACEBK *K8TDJ4VW22)</t>
  </si>
  <si>
    <t>Card charge (FACEBK *LHMPN7R2X2)</t>
  </si>
  <si>
    <t>Card charge (FACEBK *PAEXH4DW22)</t>
  </si>
  <si>
    <t>Card charge (FACEBK *7Y4FF3MW22)</t>
  </si>
  <si>
    <t>Card charge (FACEBK *LX4DR3HW22)</t>
  </si>
  <si>
    <t>Card charge (FACEBK *UJKW345W22)</t>
  </si>
  <si>
    <t>Card charge (FACEBK *LMVKP4DW22)</t>
  </si>
  <si>
    <t>Card charge (FACEBK *NECGX5H2X2)</t>
  </si>
  <si>
    <t>Card charge (FACEBK *TJ54S4DW22)</t>
  </si>
  <si>
    <t>Card charge (FACEBK *8XY755VV22)</t>
  </si>
  <si>
    <t>Card charge (FACEBK *ERJNM49W22)</t>
  </si>
  <si>
    <t>Card charge (FACEBK *JM6SM6ZPX2)</t>
  </si>
  <si>
    <t>Card charge (FACEBK *3TK5R49W22)</t>
  </si>
  <si>
    <t>Card charge (FACEBK *VKHUT752X2)</t>
  </si>
  <si>
    <t>Card charge (FACEBK *PFNP94ZV22)</t>
  </si>
  <si>
    <t>Card charge (FACEBK *EDT928V3D2)</t>
  </si>
  <si>
    <t>Card charge (FACEBK *AWGWB4HW22)</t>
  </si>
  <si>
    <t>Card charge (FACEBK *3TBLD4ZV22)</t>
  </si>
  <si>
    <t>Card charge (FACEBK *HPD9E5VV22)</t>
  </si>
  <si>
    <t>Card charge (FACEBK *Q7HQG5VV22)</t>
  </si>
  <si>
    <t>Card charge (FACEBK *Q9K7C4MW22)</t>
  </si>
  <si>
    <t>Card charge (FACEBK *JA94959W22)</t>
  </si>
  <si>
    <t>Card charge (FACEBK *349CC7V2D2)</t>
  </si>
  <si>
    <t>Card charge (FACEBK *J7Y3T4HW22)</t>
  </si>
  <si>
    <t>Card charge (FACEBK *FF3CN5RW22)</t>
  </si>
  <si>
    <t>Card charge (FACEBK *N9ZEV4HW22)</t>
  </si>
  <si>
    <t>Card charge (FACEBK *8JQEV4ZV22)</t>
  </si>
  <si>
    <t>Card charge (FACEBK *R8D9Q4MW22)</t>
  </si>
  <si>
    <t>Card charge (FACEBK *Q6D2U4ZV22)</t>
  </si>
  <si>
    <t>Card charge (FACEBK *SLL4T4ZV22)</t>
  </si>
  <si>
    <t>Card charge (FACEBK *DR3NM5DW22)</t>
  </si>
  <si>
    <t>Card charge (FACEBK *ACNM355W22)</t>
  </si>
  <si>
    <t>Card charge (FACEBK *SXNUY5VV22)</t>
  </si>
  <si>
    <t>Card charge (FACEBK *YS3HU5DW22)</t>
  </si>
  <si>
    <t>Card charge (FACEBK *RUYRY4MW22)</t>
  </si>
  <si>
    <t>Card charge (FACEBK *49G4M753D2)</t>
  </si>
  <si>
    <t>Card charge (FACEBK *WBSK45MW22)</t>
  </si>
  <si>
    <t>Card charge (FACEBK *KRKP96VV22)</t>
  </si>
  <si>
    <t>Card charge (FACEBK *9FLLF5HW22)</t>
  </si>
  <si>
    <t>Card charge (FACEBK *6R6UB6VW22)</t>
  </si>
  <si>
    <t>Card charge (HOTMART*DL)</t>
  </si>
  <si>
    <t>Card charge (HOTMART)</t>
  </si>
  <si>
    <t>Payment to Elevatech LLC</t>
  </si>
  <si>
    <t>Card charge (VANGUARD BUSINESS)</t>
  </si>
  <si>
    <t>Card charge (WWW.ARTLIST.IO)</t>
  </si>
  <si>
    <t>Card charge (HOSTINGER)</t>
  </si>
  <si>
    <t>MENTORIA JUANITA</t>
  </si>
  <si>
    <t>CONTADORES LLC</t>
  </si>
  <si>
    <t>ARLIST IA</t>
  </si>
  <si>
    <t>GERSSON BLACKFRIDAY</t>
  </si>
  <si>
    <t>CURSO HOTMART</t>
  </si>
  <si>
    <t>VENTAS DEL 16 OCT AL 27 OCT</t>
  </si>
  <si>
    <t>VENTAS DEL 4 AL 28 NOV</t>
  </si>
  <si>
    <t>VENTAS JUL</t>
  </si>
  <si>
    <t>VENTAS OCTUBRE</t>
  </si>
  <si>
    <t>VENTAS JULIO</t>
  </si>
  <si>
    <t>VENTAS AGOSTO</t>
  </si>
  <si>
    <t>VENTAS SEPTIEMBRE</t>
  </si>
  <si>
    <t>VENTAS OCTUBRE ADRI</t>
  </si>
  <si>
    <t>VENTAS HASTA EL 30 NOV</t>
  </si>
  <si>
    <t>VENTAS 27 OCT AL 30 NOV</t>
  </si>
  <si>
    <t>VENTAS AL 30 NOV</t>
  </si>
  <si>
    <t>NOMINA DICIEMBRE</t>
  </si>
  <si>
    <t>dic</t>
  </si>
  <si>
    <t>REPARTICIÓN JUAN CARLOS BARROS (28,66%)</t>
  </si>
  <si>
    <t>REPARTICIÓN FRANCISCO GONZALEZ (28,66%)</t>
  </si>
  <si>
    <t>Card charge (FACEBK *764YY59W22)</t>
  </si>
  <si>
    <t>Card charge (FACEBK *6FYGB6RW22)</t>
  </si>
  <si>
    <t>Card charge (FACEBK *YQRG269W22)</t>
  </si>
  <si>
    <t>Card charge (FACEBK *TTMDE6RW22)</t>
  </si>
  <si>
    <t>Card charge (FACEBK *4LKMS85QX2)</t>
  </si>
  <si>
    <t>Card charge (FACEBK *2NS76952X2)</t>
  </si>
  <si>
    <t>Card charge (FACEBK *NNMJP7H3D2)</t>
  </si>
  <si>
    <t>Card charge (FACEBK *NTRFL8R3D2)</t>
  </si>
  <si>
    <t>Card charge (FACEBK *2ZH6N5HW22)</t>
  </si>
  <si>
    <t>Card charge (FACEBK *MYCAM5HW22)</t>
  </si>
  <si>
    <t>Card charge (FACEBK *BCCDM7H3D2)</t>
  </si>
  <si>
    <t>Card charge (FACEBK *LV9Y77Z2D2)</t>
  </si>
  <si>
    <t>Card charge (FACEBK *7ABX769W22)</t>
  </si>
  <si>
    <t>Card charge (FACEBK *L7V4Q5HW22)</t>
  </si>
  <si>
    <t>Card charge (FACEBK *DDQ9B7Z2D2)</t>
  </si>
  <si>
    <t>Card charge (FACEBK *XVUKU79L92)</t>
  </si>
  <si>
    <t>Card charge (FACEBK *LFLNH6RW22)</t>
  </si>
  <si>
    <t>Card charge (FACEBK *5YBSP6VW22)</t>
  </si>
  <si>
    <t>Card charge (FACEBK *UCUPG6DW22)</t>
  </si>
  <si>
    <t>Card charge (FACEBK *HTUF68ZZW2)</t>
  </si>
  <si>
    <t>Card charge (FACEBK *3X8NC69W22)</t>
  </si>
  <si>
    <t>Card charge (FACEBK *PQL7K5MW22)</t>
  </si>
  <si>
    <t>Card charge (FACEBK *NCGG765W22)</t>
  </si>
  <si>
    <t>Card charge (FACEBK *7PYP465W22)</t>
  </si>
  <si>
    <t>Card charge (FACEBK *KGRTX5HW22)</t>
  </si>
  <si>
    <t>Card charge (FACEBK *GXXPX6RW22)</t>
  </si>
  <si>
    <t>Card charge (FACEBK *ARHZS6DW22)</t>
  </si>
  <si>
    <t>Card charge (FACEBK *9VJX37VW22)</t>
  </si>
  <si>
    <t>Card charge (FACEBK *FKGY47RW22)</t>
  </si>
  <si>
    <t>Card charge (FACEBK *8U2J46ZV22)</t>
  </si>
  <si>
    <t>Card charge (FACEBK *5QECJ65W22)</t>
  </si>
  <si>
    <t>Card charge (FACEBK *94HZZ6DW22)</t>
  </si>
  <si>
    <t>Card charge (FACEBK *9ELPV69W22)</t>
  </si>
  <si>
    <t>Card charge (FACEBK *CR7Y66MW22)</t>
  </si>
  <si>
    <t>Card charge (FACEBK *64CF379W22)</t>
  </si>
  <si>
    <t>Card charge (FACEBK *G53NF7VV22)</t>
  </si>
  <si>
    <t>Card charge (FACEBK *2MZCN6HW22)</t>
  </si>
  <si>
    <t>Card charge (FACEBK *89TBM7VW22)</t>
  </si>
  <si>
    <t>Card charge (FACEBK *Y7TRQ6HW22)</t>
  </si>
  <si>
    <t>Card charge (FACEBK *EGA4M7RW22)</t>
  </si>
  <si>
    <t>Card charge (FACEBK *ENKJFAD4L2)</t>
  </si>
  <si>
    <t>Card charge (FACEBK *9ZE3ACM4L2)</t>
  </si>
  <si>
    <t>Card charge (FACEBK *FX9HU9Z3L2)</t>
  </si>
  <si>
    <t>Card charge (FACEBK *73DEB9H3D2)</t>
  </si>
  <si>
    <t>Card charge (FACEBK *CCJMKB94L2)</t>
  </si>
  <si>
    <t>Card charge (FACEBK *JHMS5BR4L2)</t>
  </si>
  <si>
    <t>Card charge (FACEBK *U734N9D3D2)</t>
  </si>
  <si>
    <t>Card charge (FACEBK *J4ESUAV4L2)</t>
  </si>
  <si>
    <t>Card charge (FACEBK *ADA42BV4L2)</t>
  </si>
  <si>
    <t>Card charge (FACEBK *68ER6AM3D2)</t>
  </si>
  <si>
    <t>Card charge (FACEBK *56N7VBV3D2)</t>
  </si>
  <si>
    <t>Card charge (FACEBK *926Q5BV3L2)</t>
  </si>
  <si>
    <t>Card charge (FACEBK *SAZX9DM4L2)</t>
  </si>
  <si>
    <t>Card charge (FACEBK *FKDWVAV2D2)</t>
  </si>
  <si>
    <t>Card charge (FACEBK *XH9NDB54L2)</t>
  </si>
  <si>
    <t>Card charge (FACEBK *W4RBJA53D2)</t>
  </si>
  <si>
    <t>Card charge (FACEBK *UQACQBD9H2)</t>
  </si>
  <si>
    <t>Card charge (FACEBK *MU352BV2D2)</t>
  </si>
  <si>
    <t>Card charge (FACEBK *NBCGCAH3D2)</t>
  </si>
  <si>
    <t>Card charge (FACEBK *XP3TQAM3D2)</t>
  </si>
  <si>
    <t>Card charge (FACEBK *NL8HBBR3D2)</t>
  </si>
  <si>
    <t>Card charge (FACEBK *RARAGBR3D2)</t>
  </si>
  <si>
    <t>Card charge (FACEBK *4Q6SJAH3D2)</t>
  </si>
  <si>
    <t>Card charge (FACEBK *QNF7NB54L2)</t>
  </si>
  <si>
    <t>Card charge (FACEBK *YDY2QC94L2)</t>
  </si>
  <si>
    <t>Card charge (FACEBK *QX6JQA53D2)</t>
  </si>
  <si>
    <t>Card charge (FACEBK *PW89TB54L2)</t>
  </si>
  <si>
    <t>Card charge (FACEBK *45N4ECV3D2)</t>
  </si>
  <si>
    <t>Card charge (FACEBK *7KWWBBZ3L2)</t>
  </si>
  <si>
    <t>Card charge (FACEBK *Z9MGSB54L2)</t>
  </si>
  <si>
    <t>Card charge (FACEBK *LX7EWBV4L2)</t>
  </si>
  <si>
    <t>Card charge (FACEBK *8483XAM3D2)</t>
  </si>
  <si>
    <t>Card charge (FACEBK *UJFMLAD3D2)</t>
  </si>
  <si>
    <t>Card charge (FACEBK *8WTUSC94L2)</t>
  </si>
  <si>
    <t>Card charge (FACEBK *THNF6CD4L2)</t>
  </si>
  <si>
    <t>Card charge (FACEBK *CMJ6UDM4L2)</t>
  </si>
  <si>
    <t>Card charge (FACEBK *FP8GSAH3D2)</t>
  </si>
  <si>
    <t>Card charge (FACEBK *AF5SACD4L2)</t>
  </si>
  <si>
    <t>Card charge (FACEBK *2AAHUB54L2)</t>
  </si>
  <si>
    <t>Card charge (FACEBK *9SYHMBR3D2)</t>
  </si>
  <si>
    <t>Card charge (FACEBK *6TBFUAD3D2)</t>
  </si>
  <si>
    <t>Card charge (FACEBK *L5UFGBZ3L2)</t>
  </si>
  <si>
    <t>Card charge (FACEBK *GGMY3EM4L2)</t>
  </si>
  <si>
    <t>Card charge (FACEBK *GMFSFBV2D2)</t>
  </si>
  <si>
    <t>Card charge (FACEBK *UE5A5D94L2)</t>
  </si>
  <si>
    <t>Card charge (FACEBK *FNYL5CV4L2)</t>
  </si>
  <si>
    <t>Card charge (FACEBK *43488CV4L2)</t>
  </si>
  <si>
    <t>Card charge (FACEBK *HD2T4C54L2)</t>
  </si>
  <si>
    <t>Card charge (FACEBK *AWDT8CV4L2)</t>
  </si>
  <si>
    <t>Card charge (FACEBK *NBAZ6EM4L2)</t>
  </si>
  <si>
    <t>Card charge (FACEBK *3EKEBCV4L2)</t>
  </si>
  <si>
    <t>Card charge (FACEBK *NUVT8D94L2)</t>
  </si>
  <si>
    <t>Card charge (FACEBK *ZFVYXCR4L2)</t>
  </si>
  <si>
    <t>Card charge (FACEBK *5QQ7VBZ3L2)</t>
  </si>
  <si>
    <t>Card charge (FACEBK *Z4E6HCV4L2)</t>
  </si>
  <si>
    <t>Card charge (FACEBK *2MCHFEM4L2)</t>
  </si>
  <si>
    <t>Card charge (FACEBK *ZD4B7DH4L2)</t>
  </si>
  <si>
    <t>Card charge (FACEBK *VPBZ5CV3L2)</t>
  </si>
  <si>
    <t>Card charge (FACEBK *TXFF2CZ3L2)</t>
  </si>
  <si>
    <t>Card charge (FACEBK *SX8VFC54L2)</t>
  </si>
  <si>
    <t>Card charge (FACEBK *Q4HSHDH4L2)</t>
  </si>
  <si>
    <t>Card charge (FACEBK *XG5APCV4L2)</t>
  </si>
  <si>
    <t>Card charge (FACEBK *9RVKMDH4L2)</t>
  </si>
  <si>
    <t>Card charge (FACEBK *WJWWXEM4L2)</t>
  </si>
  <si>
    <t>Card charge (FACEBK *QCX65DV4L2)</t>
  </si>
  <si>
    <t>Card charge (FACEBK *5HCBSDH4L2)</t>
  </si>
  <si>
    <t>Card charge (FACEBK *8Y4V8DV4L2)</t>
  </si>
  <si>
    <t>Card charge (FACEBK *GDKACD54L2)</t>
  </si>
  <si>
    <t>Card charge (FACEBK *V89REFM4L2)</t>
  </si>
  <si>
    <t>Card charge (FACEBK *HZM2FD54L2)</t>
  </si>
  <si>
    <t>Card charge (FACEBK *D3F4LBHL92)</t>
  </si>
  <si>
    <t>Card charge (FACEBK *QAXGFEH4L2)</t>
  </si>
  <si>
    <t>Card charge (FACEBK *D27H3ED4L2)</t>
  </si>
  <si>
    <t>Card charge (FACEBK *7UJZ4BMK92)</t>
  </si>
  <si>
    <t>Card charge (FACEBK *NK7WVDV4L2)</t>
  </si>
  <si>
    <t>Shipping Fee</t>
  </si>
  <si>
    <t>Card charge (LATAM AIRLINES COLOMBI)</t>
  </si>
  <si>
    <t>Card charge (LA BIFERIA SA)</t>
  </si>
  <si>
    <t>Card charge (SGT*abestpdfcom)</t>
  </si>
  <si>
    <t>Card charge (CAPCUT)</t>
  </si>
  <si>
    <t>Maintenance fee, January 2026 to December 2026</t>
  </si>
  <si>
    <t>Card charge (NIFTYIMAGES)</t>
  </si>
  <si>
    <t>Card charge (CapCut)</t>
  </si>
  <si>
    <t>Card charge (www.fiverr.com)</t>
  </si>
  <si>
    <t>Card charge (CURSOR USAGE MID  JAN)</t>
  </si>
  <si>
    <t>Card charge (Trae)</t>
  </si>
  <si>
    <t>GERSSON L10</t>
  </si>
  <si>
    <t>GERSSON BLACK 25</t>
  </si>
  <si>
    <t>TERENCE BLACK 25</t>
  </si>
  <si>
    <t>REISY L1</t>
  </si>
  <si>
    <t>TERENCE L2</t>
  </si>
  <si>
    <t>Años (FECHA)</t>
  </si>
  <si>
    <t>2025</t>
  </si>
  <si>
    <t>2026</t>
  </si>
  <si>
    <t>(Varios elementos)</t>
  </si>
  <si>
    <t>(en blanco)</t>
  </si>
  <si>
    <t>Total 2025</t>
  </si>
  <si>
    <t>Total 2026</t>
  </si>
  <si>
    <t>VENTAS HASTA EL 31 DIC</t>
  </si>
  <si>
    <t>VENTAS HASTA EL 31 ENE</t>
  </si>
  <si>
    <t>GASTOS PAYONEER</t>
  </si>
  <si>
    <t>VUELOS HOTMART</t>
  </si>
  <si>
    <t>COMIDA GERSSON</t>
  </si>
  <si>
    <t>COMIDA EQUIPO</t>
  </si>
  <si>
    <t>Card charge (EL CHUZALES)</t>
  </si>
  <si>
    <t>PRUEBA HERRAMIENTA</t>
  </si>
  <si>
    <t>TRASLADO</t>
  </si>
  <si>
    <t>COSTOS PAYO</t>
  </si>
  <si>
    <t>PAGO YEZDEYLI L9</t>
  </si>
  <si>
    <t>FIVER</t>
  </si>
  <si>
    <t>NIFTY</t>
  </si>
  <si>
    <t>CUADRE COMISIONES</t>
  </si>
  <si>
    <t>REGALOS CLIENTES</t>
  </si>
  <si>
    <t>PAGO POR REISY</t>
  </si>
  <si>
    <t>VENTAS DIC Y ENE</t>
  </si>
  <si>
    <t>Card charge (FACEBK *62XQXDV4L2)</t>
  </si>
  <si>
    <t>Card charge (FACEBK *XEDLYA5L92)</t>
  </si>
  <si>
    <t>Card charge (FACEBK *PAVTDER4L2)</t>
  </si>
  <si>
    <t>Card charge (FACEBK *AFKNXEH4L2)</t>
  </si>
  <si>
    <t>Card charge (FACEBK *QEN6QDZ3L2)</t>
  </si>
  <si>
    <t>Card charge (FACEBK *KY5CUER4L2)</t>
  </si>
  <si>
    <t>Card charge (FACEBK *DHR2BD9L92)</t>
  </si>
  <si>
    <t>Card charge (FACEBK *ZDJXYDZ3L2)</t>
  </si>
  <si>
    <t>Card charge (FACEBK *FU23ME54L2)</t>
  </si>
  <si>
    <t>Card charge (FACEBK *QFVSPB5L92)</t>
  </si>
  <si>
    <t>Card charge (CASA AVELINA)</t>
  </si>
  <si>
    <t>Card charge (NELSON JAVIER GOMEZ SA)</t>
  </si>
  <si>
    <t>Card charge (FACEBK *RHNJDFR4L2)</t>
  </si>
  <si>
    <t>Card charge (CURSOR USAGE  JAN)</t>
  </si>
  <si>
    <t>Card charge (FACEBK *A8BK8CML92)</t>
  </si>
  <si>
    <t>Card charge (FACEBK *JL563G94L2)</t>
  </si>
  <si>
    <t>Card charge (CURCUMA)</t>
  </si>
  <si>
    <t>Card charge (MAKALI 1 SAS)</t>
  </si>
  <si>
    <t>Card charge (FACEBK *G2NV6G94L2)</t>
  </si>
  <si>
    <t>Card charge (GRAN ELITE SAS)</t>
  </si>
  <si>
    <t>Card charge (FACEBK *5HPV9G94L2)</t>
  </si>
  <si>
    <t>Payment from Terence HOOGSTOEL</t>
  </si>
  <si>
    <t>Card charge (FACEBK *S54RHDDL92)</t>
  </si>
  <si>
    <t>Card charge (GRACIELA RAMIREZ DE SI)</t>
  </si>
  <si>
    <t>Card charge (PAISA WOK RODADERO)</t>
  </si>
  <si>
    <t>Card charge (FACEBK *PMU96FV3L2)</t>
  </si>
  <si>
    <t>Payment to Bancolombia (1197)</t>
  </si>
  <si>
    <t>Card charge (FACEBK *J49RWFD4L2)</t>
  </si>
  <si>
    <t>Card charge (FACEBK *QPV5KHM4L2)</t>
  </si>
  <si>
    <t>Card charge (LLAMERICANSW)</t>
  </si>
  <si>
    <t>Card charge (FACEBK *2GQGHFHYD2)</t>
  </si>
  <si>
    <t>Card charge (FACEBK *KRZDFGH4L2)</t>
  </si>
  <si>
    <t>Card charge (BOLD*La Plaza Santa)</t>
  </si>
  <si>
    <t>Card charge (FACEBK *6KHWPEZK92)</t>
  </si>
  <si>
    <t>Card charge (CURSOR USAGE  FEB)</t>
  </si>
  <si>
    <t>NIFTYIMAGES</t>
  </si>
  <si>
    <t>AMERICA SWIPE</t>
  </si>
  <si>
    <t>COWORKING</t>
  </si>
  <si>
    <t>PAGO COMISIONES REISY</t>
  </si>
  <si>
    <t>VENTAS AL 25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</si>
</sst>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[$-240A]d&quot; de &quot;mmmm&quot; de &quot;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5" fontId="0" fillId="0" borderId="2" xfId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65" fontId="0" fillId="0" borderId="8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5" fontId="0" fillId="2" borderId="1" xfId="1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165" fontId="0" fillId="2" borderId="9" xfId="1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65" fontId="0" fillId="2" borderId="4" xfId="1" applyNumberFormat="1" applyFont="1" applyFill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165" fontId="0" fillId="2" borderId="16" xfId="1" applyNumberFormat="1" applyFont="1" applyFill="1" applyBorder="1" applyAlignment="1">
      <alignment horizontal="center" vertical="center"/>
    </xf>
    <xf numFmtId="165" fontId="0" fillId="3" borderId="8" xfId="1" applyNumberFormat="1" applyFont="1" applyFill="1" applyBorder="1" applyAlignment="1">
      <alignment horizontal="center" vertical="center"/>
    </xf>
    <xf numFmtId="165" fontId="0" fillId="3" borderId="2" xfId="1" applyNumberFormat="1" applyFont="1" applyFill="1" applyBorder="1" applyAlignment="1">
      <alignment horizontal="center" vertical="center"/>
    </xf>
    <xf numFmtId="165" fontId="0" fillId="0" borderId="8" xfId="1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5" fontId="0" fillId="2" borderId="2" xfId="1" applyNumberFormat="1" applyFont="1" applyFill="1" applyBorder="1" applyAlignment="1">
      <alignment horizontal="center" vertical="center"/>
    </xf>
    <xf numFmtId="165" fontId="5" fillId="0" borderId="18" xfId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5" fontId="5" fillId="0" borderId="2" xfId="1" applyNumberFormat="1" applyFont="1" applyBorder="1" applyAlignment="1">
      <alignment horizontal="center" vertical="center"/>
    </xf>
    <xf numFmtId="165" fontId="8" fillId="3" borderId="1" xfId="1" applyNumberFormat="1" applyFont="1" applyFill="1" applyBorder="1" applyAlignment="1">
      <alignment horizontal="center" vertical="center"/>
    </xf>
    <xf numFmtId="165" fontId="8" fillId="2" borderId="9" xfId="1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165" fontId="0" fillId="5" borderId="9" xfId="1" applyNumberFormat="1" applyFont="1" applyFill="1" applyBorder="1" applyAlignment="1">
      <alignment horizontal="center" vertical="center"/>
    </xf>
    <xf numFmtId="165" fontId="5" fillId="4" borderId="4" xfId="1" applyNumberFormat="1" applyFont="1" applyFill="1" applyBorder="1" applyAlignment="1">
      <alignment horizontal="center" vertical="center"/>
    </xf>
    <xf numFmtId="165" fontId="5" fillId="4" borderId="17" xfId="1" applyNumberFormat="1" applyFont="1" applyFill="1" applyBorder="1" applyAlignment="1">
      <alignment horizontal="center" vertical="center"/>
    </xf>
    <xf numFmtId="165" fontId="0" fillId="2" borderId="4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 wrapText="1"/>
    </xf>
    <xf numFmtId="166" fontId="0" fillId="0" borderId="0" xfId="1" applyNumberFormat="1" applyFont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6" fontId="0" fillId="0" borderId="19" xfId="1" applyNumberFormat="1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  <xf numFmtId="0" fontId="0" fillId="0" borderId="0" xfId="0" pivotButton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 indent="1"/>
    </xf>
    <xf numFmtId="0" fontId="10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5" fontId="7" fillId="0" borderId="14" xfId="1" applyNumberFormat="1" applyFont="1" applyBorder="1" applyAlignment="1">
      <alignment horizontal="center" vertical="center"/>
    </xf>
    <xf numFmtId="165" fontId="7" fillId="0" borderId="0" xfId="1" applyNumberFormat="1" applyFont="1" applyBorder="1" applyAlignment="1">
      <alignment horizontal="center" vertical="center"/>
    </xf>
    <xf numFmtId="165" fontId="7" fillId="0" borderId="15" xfId="1" applyNumberFormat="1" applyFont="1" applyBorder="1" applyAlignment="1">
      <alignment horizontal="center" vertical="center"/>
    </xf>
    <xf numFmtId="165" fontId="7" fillId="0" borderId="11" xfId="1" applyNumberFormat="1" applyFont="1" applyBorder="1" applyAlignment="1">
      <alignment horizontal="center" vertical="center"/>
    </xf>
    <xf numFmtId="165" fontId="7" fillId="0" borderId="12" xfId="1" applyNumberFormat="1" applyFont="1" applyBorder="1" applyAlignment="1">
      <alignment horizontal="center" vertical="center"/>
    </xf>
    <xf numFmtId="165" fontId="7" fillId="0" borderId="13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166" fontId="0" fillId="6" borderId="1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FF000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_-&quot;$&quot;\ * #,##0_-;\-&quot;$&quot;\ * #,##0_-;_-&quot;$&quot;\ * &quot;-&quot;??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_-&quot;$&quot;\ * #,##0_-;\-&quot;$&quot;\ * #,##0_-;_-&quot;$&quot;\ * &quot;-&quot;??_-;_-@_-"/>
    </dxf>
  </dxfs>
  <tableStyles count="0" defaultTableStyle="TableStyleMedium2" defaultPivotStyle="PivotStyleLight16"/>
  <colors>
    <mruColors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UENTAS%20DINERO%20PRESUPUESTO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agoCiro" refreshedDate="46078.921548611113" createdVersion="8" refreshedVersion="8" minRefreshableVersion="3" recordCount="2060" xr:uid="{41D20809-7A8F-43DB-82A2-09285AC65040}">
  <cacheSource type="worksheet">
    <worksheetSource ref="B5:P2557" sheet="CUENTAS DINERO PRESUPUESTO" r:id="rId2"/>
  </cacheSource>
  <cacheFields count="21">
    <cacheField name="FECHA" numFmtId="167">
      <sharedItems containsNonDate="0" containsDate="1" containsString="0" containsBlank="1" minDate="2023-11-01T00:00:00" maxDate="2026-02-26T00:00:00" count="543">
        <d v="2023-11-01T00:00:00"/>
        <d v="2023-12-01T00:00:00"/>
        <d v="2023-12-04T00:00:00"/>
        <d v="2023-12-07T00:00:00"/>
        <d v="2023-12-13T00:00:00"/>
        <d v="2023-12-20T00:00:00"/>
        <d v="2023-12-21T00:00:00"/>
        <d v="2023-12-26T00:00:00"/>
        <d v="2024-01-01T00:00:00"/>
        <d v="2024-01-06T00:00:00"/>
        <d v="2024-01-10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2T00:00:00"/>
        <d v="2024-01-26T00:00:00"/>
        <d v="2024-01-28T00:00:00"/>
        <d v="2024-01-29T00:00:00"/>
        <d v="2024-01-30T00:00:00"/>
        <d v="2024-01-31T00:00:00"/>
        <d v="2024-02-01T00:00:00"/>
        <d v="2024-02-03T00:00:00"/>
        <d v="2024-02-05T00:00:00"/>
        <d v="2024-02-06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9T00:00:00"/>
        <d v="2024-02-21T00:00:00"/>
        <d v="2024-02-23T00:00:00"/>
        <d v="2024-03-02T00:00:00"/>
        <d v="2024-03-03T00:00:00"/>
        <d v="2024-03-05T00:00:00"/>
        <d v="2024-03-06T00:00:00"/>
        <d v="2024-03-08T00:00:00"/>
        <d v="2024-03-11T00:00:00"/>
        <d v="2024-03-13T00:00:00"/>
        <d v="2024-03-18T00:00:00"/>
        <d v="2024-03-21T00:00:00"/>
        <d v="2024-03-27T00:00:00"/>
        <d v="2024-03-28T00:00:00"/>
        <d v="2024-03-31T00:00:00"/>
        <d v="2024-04-05T00:00:00"/>
        <d v="2024-04-06T00:00:00"/>
        <d v="2024-04-07T00:00:00"/>
        <d v="2024-04-08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8T00:00:00"/>
        <d v="2024-04-30T00:00:00"/>
        <d v="2024-05-02T00:00:00"/>
        <d v="2024-05-03T00:00:00"/>
        <d v="2024-05-04T00:00:00"/>
        <d v="2024-05-05T00:00:00"/>
        <d v="2024-05-06T00:00:00"/>
        <d v="2024-05-07T00:00:00"/>
        <d v="2024-05-16T00:00:00"/>
        <d v="2024-05-19T00:00:00"/>
        <d v="2024-05-20T00:00:00"/>
        <d v="2024-05-21T00:00:00"/>
        <d v="2024-05-25T00:00:00"/>
        <d v="2024-05-28T00:00:00"/>
        <d v="2024-05-31T00:00:00"/>
        <d v="2024-06-01T00:00:00"/>
        <d v="2024-06-04T00:00:00"/>
        <d v="2024-06-05T00:00:00"/>
        <d v="2024-06-09T00:00:00"/>
        <d v="2024-06-11T00:00:00"/>
        <d v="2024-06-15T00:00:00"/>
        <d v="2024-06-16T00:00:00"/>
        <d v="2024-06-18T00:00:00"/>
        <d v="2024-06-19T00:00:00"/>
        <d v="2024-06-20T00:00:00"/>
        <d v="2024-06-22T00:00:00"/>
        <d v="2024-06-23T00:00:00"/>
        <d v="2024-06-24T00:00:00"/>
        <d v="2024-06-25T00:00:00"/>
        <d v="2024-06-26T00:00:00"/>
        <d v="2024-06-28T00:00:00"/>
        <d v="2024-06-29T00:00:00"/>
        <d v="2024-07-02T00:00:00"/>
        <d v="2024-07-04T00:00:00"/>
        <d v="2024-07-06T00:00:00"/>
        <d v="2024-07-08T00:00:00"/>
        <d v="2024-07-09T00:00:00"/>
        <d v="2024-07-12T00:00:00"/>
        <d v="2024-07-15T00:00:00"/>
        <d v="2024-07-16T00:00:00"/>
        <d v="2024-07-20T00:00:00"/>
        <d v="2024-07-24T00:00:00"/>
        <d v="2024-07-25T00:00:00"/>
        <d v="2024-07-28T00:00:00"/>
        <d v="2024-07-31T00:00:00"/>
        <d v="2024-08-04T00:00:00"/>
        <d v="2024-08-06T00:00:00"/>
        <d v="2024-08-16T00:00:00"/>
        <d v="2024-08-19T00:00:00"/>
        <d v="2024-08-22T00:00:00"/>
        <d v="2024-08-25T00:00:00"/>
        <d v="2024-08-28T00:00:00"/>
        <d v="2024-08-30T00:00:00"/>
        <d v="2024-09-01T00:00:00"/>
        <d v="2024-09-04T00:00:00"/>
        <d v="2024-09-06T00:00:00"/>
        <d v="2024-09-12T00:00:00"/>
        <d v="2024-09-16T00:00:00"/>
        <d v="2024-09-18T00:00:00"/>
        <d v="2024-09-19T00:00:00"/>
        <d v="2024-09-20T00:00:00"/>
        <d v="2024-09-23T00:00:00"/>
        <d v="2024-09-25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10T00:00:00"/>
        <d v="2024-10-12T00:00:00"/>
        <d v="2024-10-13T00:00:00"/>
        <d v="2024-10-16T00:00:00"/>
        <d v="2024-10-25T00:00:00"/>
        <d v="2024-10-28T00:00:00"/>
        <d v="2024-10-29T00:00:00"/>
        <d v="2024-10-30T00:00:00"/>
        <d v="2024-11-01T00:00:00"/>
        <d v="2024-11-04T00:00:00"/>
        <d v="2024-11-05T00:00:00"/>
        <d v="2024-11-06T00:00:00"/>
        <d v="2024-11-08T00:00:00"/>
        <d v="2024-11-09T00:00:00"/>
        <d v="2024-11-10T00:00:00"/>
        <d v="2024-11-14T00:00:00"/>
        <d v="2024-11-15T00:00:00"/>
        <d v="2024-11-16T00:00:00"/>
        <d v="2024-11-17T00:00:00"/>
        <d v="2024-11-21T00:00:00"/>
        <d v="2024-11-23T00:00:00"/>
        <d v="2024-11-25T00:00:00"/>
        <d v="2024-11-26T00:00:00"/>
        <d v="2024-11-27T00:00:00"/>
        <d v="2024-11-28T00:00:00"/>
        <d v="2024-11-30T00:00:00"/>
        <d v="2024-12-04T00:00:00"/>
        <d v="2024-12-05T00:00:00"/>
        <d v="2024-12-06T00:00:00"/>
        <d v="2024-12-07T00:00:00"/>
        <d v="2024-12-08T00:00:00"/>
        <d v="2024-12-14T00:00:00"/>
        <d v="2024-12-15T00:00:00"/>
        <d v="2024-12-19T00:00:00"/>
        <d v="2024-12-20T00:00:00"/>
        <d v="2024-12-23T00:00:00"/>
        <d v="2024-12-24T00:00:00"/>
        <d v="2024-12-26T00:00:00"/>
        <d v="2024-12-27T00:00:00"/>
        <d v="2024-12-28T00:00:00"/>
        <d v="2024-12-29T00:00:00"/>
        <d v="2024-12-31T00:00:00"/>
        <d v="2025-01-02T00:00:00"/>
        <d v="2025-01-04T00:00:00"/>
        <d v="2025-01-06T00:00:00"/>
        <d v="2025-01-09T00:00:00"/>
        <d v="2025-01-11T00:00:00"/>
        <d v="2025-01-12T00:00:00"/>
        <d v="2025-01-13T00:00:00"/>
        <d v="2025-01-18T00:00:00"/>
        <d v="2025-01-20T00:00:00"/>
        <d v="2025-01-22T00:00:00"/>
        <d v="2025-01-27T00:00:00"/>
        <d v="2025-01-28T00:00:00"/>
        <d v="2025-01-31T00:00:00"/>
        <d v="2025-02-03T00:00:00"/>
        <d v="2025-02-04T00:00:00"/>
        <d v="2025-02-06T00:00:00"/>
        <d v="2025-02-08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7T00:00:00"/>
        <d v="2025-02-28T00:00:00"/>
        <d v="2025-03-03T00:00:00"/>
        <d v="2025-03-04T00:00:00"/>
        <d v="2025-03-05T00:00:00"/>
        <d v="2025-03-06T00:00:00"/>
        <d v="2025-03-08T00:00:00"/>
        <d v="2025-03-09T00:00:00"/>
        <d v="2025-03-11T00:00:00"/>
        <d v="2025-03-12T00:00:00"/>
        <d v="2025-03-16T00:00:00"/>
        <d v="2025-03-18T00:00:00"/>
        <d v="2025-03-20T00:00:00"/>
        <d v="2025-03-23T00:00:00"/>
        <d v="2025-03-25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5T00:00:00"/>
        <d v="2025-04-16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6T00:00:00"/>
        <d v="2025-04-27T00:00:00"/>
        <d v="2025-04-28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7T00:00:00"/>
        <d v="2025-05-18T00:00:00"/>
        <d v="2025-05-19T00:00:00"/>
        <d v="2025-05-20T00:00:00"/>
        <d v="2025-05-21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2T00:00:00"/>
        <d v="2025-10-13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7T00:00:00"/>
        <d v="2025-12-29T00:00:00"/>
        <d v="2025-12-31T00:00:00"/>
        <d v="2026-01-01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8T00:00:00"/>
        <d v="2026-01-19T00:00:00"/>
        <d v="2026-01-20T00:00:00"/>
        <d v="2026-01-21T00:00:00"/>
        <d v="2026-01-22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25T00:00:00"/>
        <d v="2026-02-04T00:00:00"/>
        <d v="2026-02-05T00:00:00"/>
        <d v="2026-02-07T00:00:00"/>
        <d v="2026-02-08T00:00:00"/>
        <d v="2026-02-09T00:00:00"/>
        <d v="2026-02-10T00:00:00"/>
        <d v="2026-02-11T00:00:00"/>
        <d v="2026-02-12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m/>
        <d v="2026-02-13T00:00:00" u="1"/>
      </sharedItems>
      <fieldGroup par="20"/>
    </cacheField>
    <cacheField name="TIPO DE MOVIMIENTO" numFmtId="167">
      <sharedItems containsBlank="1"/>
    </cacheField>
    <cacheField name="PROYECTO" numFmtId="0">
      <sharedItems containsBlank="1" count="52">
        <s v="VCAPITAL"/>
        <s v="JSD Y VCAPITAL"/>
        <s v="AGENCIA X"/>
        <s v="GIGI"/>
        <s v="NA"/>
        <s v="EQUIPO"/>
        <s v="JSD"/>
        <s v="BALAYAGE"/>
        <s v="FRANK SERAPION"/>
        <s v="GERSSON"/>
        <s v="NATASHA"/>
        <s v="UTILIDADES"/>
        <s v="HOTMART"/>
        <s v="GERSSON L2"/>
        <s v="GERSSON L3"/>
        <s v="CURVES"/>
        <s v="GERSSON L4"/>
        <s v="JSD DISOLUCIÓN"/>
        <s v="GERSSON L5"/>
        <s v="GERSSON L6"/>
        <s v="GERSSON VENTA DIRECTA"/>
        <s v="GERSSON VPS"/>
        <s v="ADRIANA"/>
        <s v="ARZA"/>
        <s v="ARZA-UÑAS-L1"/>
        <s v="ARZA-CEJAS-L1"/>
        <s v="GERSSON L7"/>
        <s v="ARZA-PASTELERIA-L1"/>
        <s v="FONDO LIBRE"/>
        <s v="GIORGIO L1"/>
        <s v="VCAPITAL L1"/>
        <s v="NELLY"/>
        <s v="SANTIAGO"/>
        <s v="RETIRO HOTMART"/>
        <s v="ARZA-UÑAS-L2"/>
        <s v="INFOPRODUCTOS X"/>
        <s v="ARZA-CEJAS-L2"/>
        <s v="GERSSON L8"/>
        <s v="SANTIAGO MENDEZ"/>
        <s v="ARZA UÑAS L4"/>
        <s v="TERENCE"/>
        <s v="PRESTAMOS SANTIAGO"/>
        <s v="GERSSON L9"/>
        <m/>
        <s v="GERSSON BLACKFRIDAY"/>
        <s v="GERSSON BLACK 25"/>
        <s v="TERENCE BLACK 25"/>
        <s v="TRASLADO"/>
        <s v="GERSSON L10"/>
        <s v="REISY L1"/>
        <s v="TERENCE L2"/>
        <s v="GERSSON BLACK FRIDAY" u="1"/>
      </sharedItems>
    </cacheField>
    <cacheField name="SUBCATEGORIA" numFmtId="0">
      <sharedItems containsBlank="1"/>
    </cacheField>
    <cacheField name="DESCRIPCION" numFmtId="0">
      <sharedItems containsBlank="1" longText="1"/>
    </cacheField>
    <cacheField name="CATEGORIA/DETALLE" numFmtId="0">
      <sharedItems containsBlank="1" count="237">
        <s v="UTILIDADES VCAPITAL (F, S Y JC)"/>
        <s v="ACUMULADO JSD Y VCAPITAL"/>
        <s v="CURSO PERFECT LAUNCH"/>
        <s v="DEUDAS Y PAGOS FB"/>
        <s v="ENVÍO JERWIN POR RECIBIDO EN PERÚ"/>
        <s v="GASTOS HOSTING"/>
        <s v="MANYCHAT Y CHATGPT"/>
        <s v="PAGO DE COMISIONES VCAPITAL"/>
        <s v="PARTE FRAN DEUDA GIORGIO"/>
        <s v="PARTE JERWIN - ADELANTO AV VILLAS"/>
        <s v="PARTE JERWIN DE JOSHUA Y MAURICIO"/>
        <s v="PARTE JUANCA DEUDA GIORGIO"/>
        <s v="PARTE SANTIAGO DEUDA GIORGIO"/>
        <s v="PLATA GIORGIO DEUDA"/>
        <s v="PLATA VCAPITAL"/>
        <s v="PRESUPUESTO EQUIPO"/>
        <s v="TRASLADO DE BILLETERA JSD"/>
        <s v="TRASLADO DE BILLETERA VCAPITAL"/>
        <s v="TRASLADO DE JUAN CARLOS - SOULT"/>
        <s v="INGRESOS BANCOLOMBIA"/>
        <s v="PARTE EQUIPO RENOVACIONES VCAPITAL"/>
        <s v="PARTE JOSHUA RENOVACIONES VCAPITAL"/>
        <s v="RETIRO HOTMART JSD"/>
        <s v="ZOOM MILTHON DIC"/>
        <s v="TRASLADOS"/>
        <s v="PAGO DE COMISIONES BALAYAGE"/>
        <s v="ENTRADA FRANK SERAPION"/>
        <s v="PARTE JERWIN DE 3083 USD FS"/>
        <s v="TRATO DANIEL CANIZO - GERSSON"/>
        <s v="ZOOM MILTHON ENE"/>
        <s v="PAGO JORGE VARELA"/>
        <s v="HOSTINGUER SITIOS"/>
        <s v="HOSTINGUER VPS"/>
        <s v="HOSTINGUER"/>
        <s v="MAILERLITE TERAPIAS"/>
        <s v="CHATGPT"/>
        <s v="MAILERLITE NATASHA"/>
        <s v="PAGO DANIEL COPY"/>
        <s v="PAGO TIFF EBOOK"/>
        <s v="STREAMYARD GERSSON"/>
        <s v="LEADTRACKER"/>
        <s v="PAGO VIDEO MAKER"/>
        <s v="PAGO A JERWIN"/>
        <s v="PUBLICIDAD GERSSON"/>
        <s v="CURSO JOSE LANDA"/>
        <s v="DEVZAPP GERSSON"/>
        <s v="DEVZAPP NATASHA"/>
        <s v="COSTO ANUAL PAYONEER"/>
        <s v="PARTE JOSHUA"/>
        <s v="VENTA JSD Y COMPENSACION INICIAL"/>
        <s v="ANGELICA ENVIOS"/>
        <s v="DEUDA HERNAN JSD"/>
        <s v="ISABELLA CUENTAS"/>
        <s v="JORGE DISEÑADOR"/>
        <s v="PRUEBA TOKECHAT"/>
        <s v="VALENTINA CAPACITACION CIERRES"/>
        <s v="MAILERLITE GERSSON"/>
        <s v="VENTAS DICIEMBRE HOTMART"/>
        <s v="COPY AUXILIAR"/>
        <s v="CURSO JEAN PIERRE"/>
        <s v="INGRESOS HOTMART"/>
        <s v="INGRESOS VENTAS"/>
        <s v="PAGO DEUDA HERRAMIENTAS"/>
        <s v="PAGO COMISIONES"/>
        <s v="PAGO GERSSON COMISIONES"/>
        <s v="PAGO % DANIEL MARTINEZ"/>
        <s v="PAGO % DANIEL CANIZO"/>
        <s v="PARTE GANANCIAS FRANCISCO"/>
        <s v="PARTE GANANCIAS JERWIN"/>
        <s v="PARTE GANANCIAS JUAN CARLOS"/>
        <s v="PARTE GANANCIAS SANTIAGO"/>
        <s v="HERRAMIENTA ADS"/>
        <s v="CONSTITUCIÓN EMPRESA"/>
        <s v="MICROFONO"/>
        <s v="MAILERLITE"/>
        <s v="STAPE"/>
        <s v="LORENA VIDEOS"/>
        <s v="FACEBOOK ADS"/>
        <s v="FRAN HOTMART FIRE"/>
        <s v="CURSO RECURSOS CAPCUT"/>
        <s v="DEVZAPP"/>
        <s v="MANYCHAT"/>
        <s v="ANGELICA, LORENA Y JORGE"/>
        <s v="RENOVACIONES CAMARA DE COMERCIO"/>
        <s v="CAPCUT PRO - FRAN"/>
        <s v="GASTO X"/>
        <s v="DOMINIO AUTOMSCC"/>
        <s v="STEVEN COLLAGUAZO"/>
        <s v="COMISIONES"/>
        <s v="PAGO DANIEL CANIZO"/>
        <s v="FLODESK"/>
        <s v="CURSOS PRAXIS"/>
        <s v="PAGO JUAN CARLOS"/>
        <s v="PAGO FRANCISCO"/>
        <s v="WP ROCKET"/>
        <s v="FB ADS"/>
        <s v="DOMINIO CURVES"/>
        <s v="VIAJE DANIEL"/>
        <s v="RAQUEL COPY"/>
        <s v="LAURA VIDEOS"/>
        <s v="RETIRO AUTOMATICO"/>
        <s v="PAGO A CARLOS EBOOK"/>
        <s v="PARTE JERWIN"/>
        <s v="PARTE POR FUERA"/>
        <s v="PARTE GANANCIAS DANIEL"/>
        <s v="CAPTIONS"/>
        <s v="INGRESO HOTMART"/>
        <s v="PAGO RAQUEL"/>
        <s v="PAGO LORENA VIDEOS"/>
        <s v="MAILER LITE"/>
        <s v="IPSTACK"/>
        <s v="GOOGLE ADS"/>
        <s v="IMPUESTOS Y PAGOS PENDIENTES JOSHUA"/>
        <s v="PAGOS CERRADORES L3 - PRESTAMO A GERSSON"/>
        <s v="FB ADS - PRESTAMO FRAN"/>
        <s v="VIAJE FRAN"/>
        <s v="PRUEBAS CHATGPT"/>
        <s v="LORENA, JORGE Y ANGELICA"/>
        <s v="PARTE DANIEL"/>
        <s v="PARTE FRANCISCO"/>
        <s v="PARTE JUAN CARLOS"/>
        <s v="PARTE SANTIAGO"/>
        <s v="VENTAS"/>
        <s v="TIKTOK ADS"/>
        <s v="DEUDA GERSSON"/>
        <s v="UCHAT"/>
        <s v="VOIP PRUEBA"/>
        <s v="SENDMAILS"/>
        <s v="NAMECHEAP"/>
        <s v="PAGO A JAVIER CRUZ"/>
        <s v="CARLOS(nov,dic) Y ANGELICA"/>
        <s v="CERRADORES"/>
        <s v="LLAMADA LUNAR PURPURA"/>
        <s v="DEUDA CONTADORES"/>
        <s v="VENTAS ADICIONALES L5"/>
        <s v="PENDIENTE GERSSON"/>
        <s v="PAYONEER"/>
        <s v="HOTMART X"/>
        <s v="DEUDA JSD REVOLUTION"/>
        <s v="DANIEL ADELANTO"/>
        <s v="PAGO FEE"/>
        <s v="NOMINA"/>
        <s v="EASYPANEL"/>
        <s v="GREATPAGES"/>
        <s v="VPS"/>
        <s v="DOMINIOS"/>
        <s v="REPARTO UTILIDADES"/>
        <s v="PARTE GERSSON"/>
        <s v="ADVERONIX"/>
        <s v="BOLT"/>
        <s v="OPENAI"/>
        <s v="SUEDOS AGENCIA"/>
        <s v="HOTMART"/>
        <s v="CURSOS"/>
        <s v="SIGNALWIRE"/>
        <s v="SUELDOS"/>
        <s v="[GERSSON] UTILIDADES L6"/>
        <s v="CONTRATOS"/>
        <s v="THRIVE"/>
        <s v="PAGOS COMISIONES"/>
        <s v="UTILIDADES L6"/>
        <s v="CURSOR"/>
        <s v="PAGO DEUDA CURVES"/>
        <s v="PAGO PRESTAMO GERSSON"/>
        <s v="NINJABR"/>
        <s v="TRASLADO A AGENCIA X"/>
        <s v="[ADRIANA] UTILIDADES 15 MAYO"/>
        <s v="CHAGPT"/>
        <s v="STREAMYARD"/>
        <s v="SUPABASE"/>
        <s v="WHATZAPPER"/>
        <s v="FIVEER"/>
        <s v="UTILIDAD A JUNIO 30"/>
        <s v="[ADRIANA] UTILIDAD A JUNIO 30"/>
        <s v="VIAJE MEXICO DANIEL"/>
        <s v="IA REUNIONES"/>
        <s v="CLAUDE"/>
        <s v="[GERSSON] UTILIDAD VD"/>
        <s v="[INFOPRODUCTOS X] UTILIDADES 15 JUN"/>
        <s v="UTILIDADES L7"/>
        <s v="[GERSSON] UTILIDADES L7"/>
        <s v="PAGO PRESTAMO"/>
        <s v="REPOSICIÓN"/>
        <s v="GOOGLE ONE"/>
        <s v="CLOUDFLARE"/>
        <s v="WPROCKET"/>
        <s v="CHATWOOT"/>
        <s v="SENDFLOW"/>
        <s v="DEUDA VCAPITAL"/>
        <s v="EXTENSION VIDEOS"/>
        <s v="RETIRO HOTMART"/>
        <s v="HEYGEN"/>
        <s v="PANDAVIDEO"/>
        <s v="JUEGO"/>
        <s v="PLATAFORMA COPY"/>
        <s v="DOMINIO"/>
        <s v="CAPCUT"/>
        <s v="OPENROUTER"/>
        <s v="TRASLADOS UTILIDADES"/>
        <s v="[ADRIANA] UTILIDADES 15 OCTUBRE"/>
        <s v="UTILIDADES GERSSON L8"/>
        <s v="UTILIDADES INFOPRODUCTOS CORTE 15 OCT"/>
        <s v="UTILIDADES GIORGIO L1"/>
        <s v="UTILIDADES NELLY"/>
        <s v="UTILIDADES VCAPITAL L1"/>
        <s v="TRASLADO EXCEDENTE AGENCIA X"/>
        <s v="EXCEDENTE AGENCIA X 15 OCTUBRE"/>
        <s v="REPARTO UTILIDADES SOCIOS"/>
        <m/>
        <s v="MENTORIA JUANITA"/>
        <s v="CONTADORES LLC"/>
        <s v="ARLIST IA"/>
        <s v="CURSO HOTMART"/>
        <s v="TRASLADO UTILIDADES"/>
        <s v="GASTOS PAYONEER"/>
        <s v="VUELOS HOTMART"/>
        <s v="COMIDA GERSSON"/>
        <s v="COMIDA EQUIPO"/>
        <s v="PRUEBA HERRAMIENTA"/>
        <s v="PAGO YEZDEYLI L9"/>
        <s v="CUADRE COMISIONES"/>
        <s v="REGALOS CLIENTES"/>
        <s v="PAGO POR REISY"/>
        <s v="COSTOS PAYO"/>
        <s v="NIFTY"/>
        <s v="FIVER"/>
        <s v="NIFTYIMAGES"/>
        <s v="COWORKING"/>
        <s v="TRASLADO"/>
        <s v="PAGO COMISIONES REISY"/>
        <s v="AMERICA SWIPE"/>
        <s v="INGRESOS EQUIPO BALAYAGE - SOULT" u="1"/>
        <s v="INGRESOS L1" u="1"/>
        <s v="NOMINA FEBRERO" u="1"/>
        <s v="NOMINA DIC" u="1"/>
        <s v="DEVOLUCIONES" u="1"/>
        <s v="UTILIDADES TERENCE 1" u="1"/>
      </sharedItems>
    </cacheField>
    <cacheField name="IMPORTE CONTABLE" numFmtId="166">
      <sharedItems containsString="0" containsBlank="1" containsNumber="1" containsInteger="1" minValue="-58019" maxValue="58019"/>
    </cacheField>
    <cacheField name="CUENTA JUAN CARLOS" numFmtId="166">
      <sharedItems containsString="0" containsBlank="1" containsNumber="1" containsInteger="1" minValue="-14851" maxValue="9425"/>
    </cacheField>
    <cacheField name="PAYO SANTIAGO" numFmtId="166">
      <sharedItems containsString="0" containsBlank="1" containsNumber="1" containsInteger="1" minValue="-7752" maxValue="9975"/>
    </cacheField>
    <cacheField name="BANCOLOMBIA" numFmtId="166">
      <sharedItems containsString="0" containsBlank="1" containsNumber="1" containsInteger="1" minValue="-3023000" maxValue="9448000"/>
    </cacheField>
    <cacheField name="HOTMART JSD" numFmtId="166">
      <sharedItems containsString="0" containsBlank="1" containsNumber="1" minValue="-59754" maxValue="64389"/>
    </cacheField>
    <cacheField name="PAYO JSD" numFmtId="166">
      <sharedItems containsString="0" containsBlank="1" containsNumber="1" minValue="-25001" maxValue="59754"/>
    </cacheField>
    <cacheField name="PAYO FRAN" numFmtId="166">
      <sharedItems containsString="0" containsBlank="1" containsNumber="1" minValue="-252.8" maxValue="894"/>
    </cacheField>
    <cacheField name="JERWIN PERÚ" numFmtId="166">
      <sharedItems containsString="0" containsBlank="1" containsNumber="1" containsInteger="1" minValue="-1259" maxValue="1235"/>
    </cacheField>
    <cacheField name="BINANCE" numFmtId="166">
      <sharedItems containsString="0" containsBlank="1" containsNumber="1" minValue="-5389" maxValue="17694"/>
    </cacheField>
    <cacheField name="INGRESOS" numFmtId="0" formula="BINANCE+'JERWIN PERÚ'+'PAYO JSD'+'HOTMART JSD'+BANCOLOMBIA+'PAYO SANTIAGO'+'CUENTA JUAN CARLOS'" databaseField="0"/>
    <cacheField name="MOVIMIENTOS" numFmtId="0" formula="BINANCE+'JERWIN PERÚ'+'PAYO FRAN'+'PAYO JSD'+BANCOLOMBIA+'PAYO SANTIAGO'+'CUENTA JUAN CARLOS'+'IMPORTE CONTABLE'" databaseField="0"/>
    <cacheField name="MOVIMIENTOS TOTALES" numFmtId="0" formula="BINANCE+'JERWIN PERÚ'+'PAYO FRAN'+'PAYO JSD'+'HOTMART JSD'+BANCOLOMBIA+'PAYO SANTIAGO'+'CUENTA JUAN CARLOS'+'IMPORTE CONTABLE'" databaseField="0"/>
    <cacheField name="Meses (FECHA)" numFmtId="0" databaseField="0">
      <fieldGroup base="0">
        <rangePr groupBy="months" startDate="2023-11-01T00:00:00" endDate="2026-02-26T00:00:00"/>
        <groupItems count="14">
          <s v="&lt;01/11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6/02/2026"/>
        </groupItems>
      </fieldGroup>
    </cacheField>
    <cacheField name="Trimestres (FECHA)" numFmtId="0" databaseField="0">
      <fieldGroup base="0">
        <rangePr groupBy="quarters" startDate="2023-11-01T00:00:00" endDate="2026-02-26T00:00:00"/>
        <groupItems count="6">
          <s v="&lt;01/11/2023"/>
          <s v="Trim.1"/>
          <s v="Trim.2"/>
          <s v="Trim.3"/>
          <s v="Trim.4"/>
          <s v="&gt;26/02/2026"/>
        </groupItems>
      </fieldGroup>
    </cacheField>
    <cacheField name="Años (FECHA)" numFmtId="0" databaseField="0">
      <fieldGroup base="0">
        <rangePr groupBy="years" startDate="2023-11-01T00:00:00" endDate="2026-02-26T00:00:00"/>
        <groupItems count="6">
          <s v="&lt;01/11/2023"/>
          <s v="2023"/>
          <s v="2024"/>
          <s v="2025"/>
          <s v="2026"/>
          <s v="&gt;26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0">
  <r>
    <x v="0"/>
    <m/>
    <x v="0"/>
    <m/>
    <m/>
    <x v="0"/>
    <m/>
    <m/>
    <m/>
    <n v="-2700000"/>
    <m/>
    <m/>
    <m/>
    <m/>
    <m/>
  </r>
  <r>
    <x v="0"/>
    <m/>
    <x v="1"/>
    <m/>
    <m/>
    <x v="1"/>
    <m/>
    <m/>
    <m/>
    <m/>
    <m/>
    <n v="16342"/>
    <m/>
    <m/>
    <m/>
  </r>
  <r>
    <x v="0"/>
    <m/>
    <x v="1"/>
    <m/>
    <m/>
    <x v="1"/>
    <m/>
    <m/>
    <m/>
    <m/>
    <m/>
    <m/>
    <m/>
    <m/>
    <n v="17694"/>
  </r>
  <r>
    <x v="0"/>
    <m/>
    <x v="2"/>
    <m/>
    <m/>
    <x v="2"/>
    <m/>
    <m/>
    <m/>
    <m/>
    <m/>
    <n v="-15"/>
    <m/>
    <m/>
    <m/>
  </r>
  <r>
    <x v="0"/>
    <m/>
    <x v="2"/>
    <m/>
    <m/>
    <x v="3"/>
    <m/>
    <m/>
    <m/>
    <m/>
    <m/>
    <n v="-155"/>
    <m/>
    <m/>
    <m/>
  </r>
  <r>
    <x v="0"/>
    <m/>
    <x v="1"/>
    <m/>
    <m/>
    <x v="4"/>
    <m/>
    <m/>
    <m/>
    <m/>
    <m/>
    <m/>
    <m/>
    <m/>
    <n v="2750"/>
  </r>
  <r>
    <x v="0"/>
    <m/>
    <x v="2"/>
    <m/>
    <m/>
    <x v="5"/>
    <m/>
    <m/>
    <m/>
    <m/>
    <m/>
    <n v="-62"/>
    <m/>
    <m/>
    <m/>
  </r>
  <r>
    <x v="0"/>
    <m/>
    <x v="2"/>
    <m/>
    <m/>
    <x v="6"/>
    <m/>
    <m/>
    <m/>
    <m/>
    <m/>
    <n v="-45"/>
    <m/>
    <m/>
    <m/>
  </r>
  <r>
    <x v="0"/>
    <m/>
    <x v="0"/>
    <m/>
    <m/>
    <x v="7"/>
    <m/>
    <m/>
    <m/>
    <n v="-1045000"/>
    <m/>
    <m/>
    <m/>
    <m/>
    <m/>
  </r>
  <r>
    <x v="0"/>
    <m/>
    <x v="3"/>
    <m/>
    <m/>
    <x v="8"/>
    <m/>
    <m/>
    <m/>
    <n v="-3023000"/>
    <m/>
    <m/>
    <m/>
    <m/>
    <m/>
  </r>
  <r>
    <x v="0"/>
    <m/>
    <x v="4"/>
    <m/>
    <m/>
    <x v="9"/>
    <m/>
    <m/>
    <m/>
    <m/>
    <m/>
    <m/>
    <m/>
    <m/>
    <n v="-659"/>
  </r>
  <r>
    <x v="0"/>
    <m/>
    <x v="1"/>
    <m/>
    <m/>
    <x v="10"/>
    <m/>
    <m/>
    <m/>
    <m/>
    <m/>
    <m/>
    <m/>
    <m/>
    <n v="-79"/>
  </r>
  <r>
    <x v="0"/>
    <m/>
    <x v="3"/>
    <m/>
    <m/>
    <x v="11"/>
    <m/>
    <m/>
    <m/>
    <n v="-2362000"/>
    <m/>
    <m/>
    <m/>
    <m/>
    <m/>
  </r>
  <r>
    <x v="0"/>
    <m/>
    <x v="3"/>
    <m/>
    <m/>
    <x v="12"/>
    <m/>
    <m/>
    <m/>
    <n v="-2456000"/>
    <m/>
    <m/>
    <m/>
    <m/>
    <m/>
  </r>
  <r>
    <x v="0"/>
    <m/>
    <x v="3"/>
    <m/>
    <m/>
    <x v="13"/>
    <m/>
    <m/>
    <m/>
    <n v="9448000"/>
    <m/>
    <m/>
    <m/>
    <m/>
    <m/>
  </r>
  <r>
    <x v="0"/>
    <m/>
    <x v="0"/>
    <m/>
    <m/>
    <x v="14"/>
    <m/>
    <m/>
    <m/>
    <n v="5349000"/>
    <m/>
    <m/>
    <m/>
    <m/>
    <m/>
  </r>
  <r>
    <x v="0"/>
    <m/>
    <x v="5"/>
    <m/>
    <m/>
    <x v="15"/>
    <m/>
    <m/>
    <n v="9975"/>
    <m/>
    <m/>
    <m/>
    <m/>
    <m/>
    <m/>
  </r>
  <r>
    <x v="0"/>
    <m/>
    <x v="5"/>
    <m/>
    <m/>
    <x v="15"/>
    <m/>
    <m/>
    <m/>
    <m/>
    <m/>
    <m/>
    <n v="894"/>
    <m/>
    <m/>
  </r>
  <r>
    <x v="0"/>
    <m/>
    <x v="6"/>
    <m/>
    <m/>
    <x v="16"/>
    <m/>
    <m/>
    <m/>
    <m/>
    <m/>
    <m/>
    <m/>
    <m/>
    <n v="559"/>
  </r>
  <r>
    <x v="0"/>
    <m/>
    <x v="0"/>
    <m/>
    <m/>
    <x v="17"/>
    <m/>
    <m/>
    <m/>
    <m/>
    <m/>
    <m/>
    <m/>
    <m/>
    <n v="1129"/>
  </r>
  <r>
    <x v="0"/>
    <m/>
    <x v="6"/>
    <m/>
    <m/>
    <x v="18"/>
    <m/>
    <m/>
    <n v="2318"/>
    <m/>
    <m/>
    <m/>
    <m/>
    <m/>
    <m/>
  </r>
  <r>
    <x v="1"/>
    <m/>
    <x v="7"/>
    <m/>
    <m/>
    <x v="19"/>
    <m/>
    <m/>
    <m/>
    <n v="-1768000"/>
    <m/>
    <m/>
    <m/>
    <m/>
    <m/>
  </r>
  <r>
    <x v="1"/>
    <m/>
    <x v="0"/>
    <m/>
    <m/>
    <x v="20"/>
    <m/>
    <m/>
    <m/>
    <n v="-750000"/>
    <m/>
    <m/>
    <m/>
    <m/>
    <m/>
  </r>
  <r>
    <x v="1"/>
    <m/>
    <x v="0"/>
    <m/>
    <m/>
    <x v="21"/>
    <m/>
    <m/>
    <m/>
    <n v="-693000"/>
    <m/>
    <m/>
    <m/>
    <m/>
    <m/>
  </r>
  <r>
    <x v="1"/>
    <m/>
    <x v="6"/>
    <m/>
    <m/>
    <x v="22"/>
    <m/>
    <m/>
    <m/>
    <m/>
    <m/>
    <n v="3526"/>
    <m/>
    <m/>
    <m/>
  </r>
  <r>
    <x v="1"/>
    <m/>
    <x v="2"/>
    <m/>
    <m/>
    <x v="23"/>
    <m/>
    <m/>
    <n v="-50"/>
    <m/>
    <m/>
    <m/>
    <m/>
    <m/>
    <m/>
  </r>
  <r>
    <x v="2"/>
    <m/>
    <x v="2"/>
    <m/>
    <s v="TRASLADOS ENTRE CUENTAS"/>
    <x v="24"/>
    <m/>
    <m/>
    <n v="-7752"/>
    <m/>
    <m/>
    <n v="7752"/>
    <m/>
    <m/>
    <n v="16022"/>
  </r>
  <r>
    <x v="3"/>
    <m/>
    <x v="2"/>
    <m/>
    <s v="TRASLADOS ENTRE CUENTAS"/>
    <x v="24"/>
    <m/>
    <m/>
    <m/>
    <m/>
    <m/>
    <n v="-16216"/>
    <m/>
    <m/>
    <m/>
  </r>
  <r>
    <x v="4"/>
    <m/>
    <x v="7"/>
    <m/>
    <m/>
    <x v="25"/>
    <m/>
    <m/>
    <m/>
    <m/>
    <m/>
    <m/>
    <m/>
    <m/>
    <n v="-66"/>
  </r>
  <r>
    <x v="5"/>
    <m/>
    <x v="6"/>
    <m/>
    <m/>
    <x v="22"/>
    <m/>
    <m/>
    <m/>
    <m/>
    <m/>
    <n v="7137"/>
    <m/>
    <m/>
    <m/>
  </r>
  <r>
    <x v="6"/>
    <m/>
    <x v="8"/>
    <m/>
    <m/>
    <x v="26"/>
    <m/>
    <m/>
    <m/>
    <m/>
    <m/>
    <n v="3083"/>
    <m/>
    <m/>
    <m/>
  </r>
  <r>
    <x v="7"/>
    <m/>
    <x v="8"/>
    <m/>
    <m/>
    <x v="27"/>
    <m/>
    <m/>
    <m/>
    <m/>
    <m/>
    <m/>
    <m/>
    <m/>
    <n v="-500"/>
  </r>
  <r>
    <x v="7"/>
    <m/>
    <x v="9"/>
    <m/>
    <m/>
    <x v="28"/>
    <m/>
    <m/>
    <m/>
    <m/>
    <m/>
    <m/>
    <m/>
    <m/>
    <n v="-506"/>
  </r>
  <r>
    <x v="8"/>
    <m/>
    <x v="2"/>
    <m/>
    <m/>
    <x v="29"/>
    <m/>
    <m/>
    <n v="-50"/>
    <m/>
    <m/>
    <m/>
    <m/>
    <m/>
    <m/>
  </r>
  <r>
    <x v="9"/>
    <m/>
    <x v="8"/>
    <m/>
    <m/>
    <x v="30"/>
    <m/>
    <m/>
    <m/>
    <m/>
    <m/>
    <m/>
    <m/>
    <m/>
    <n v="-183"/>
  </r>
  <r>
    <x v="10"/>
    <m/>
    <x v="2"/>
    <m/>
    <m/>
    <x v="31"/>
    <m/>
    <m/>
    <m/>
    <m/>
    <m/>
    <n v="-21"/>
    <m/>
    <m/>
    <m/>
  </r>
  <r>
    <x v="10"/>
    <m/>
    <x v="2"/>
    <m/>
    <m/>
    <x v="32"/>
    <m/>
    <m/>
    <m/>
    <m/>
    <m/>
    <n v="-11.55"/>
    <m/>
    <m/>
    <m/>
  </r>
  <r>
    <x v="11"/>
    <m/>
    <x v="9"/>
    <m/>
    <m/>
    <x v="33"/>
    <m/>
    <m/>
    <m/>
    <m/>
    <m/>
    <n v="-18.41"/>
    <m/>
    <m/>
    <m/>
  </r>
  <r>
    <x v="11"/>
    <m/>
    <x v="9"/>
    <m/>
    <m/>
    <x v="33"/>
    <m/>
    <m/>
    <m/>
    <m/>
    <m/>
    <n v="-3.39"/>
    <m/>
    <m/>
    <m/>
  </r>
  <r>
    <x v="11"/>
    <m/>
    <x v="9"/>
    <m/>
    <m/>
    <x v="34"/>
    <m/>
    <m/>
    <m/>
    <m/>
    <m/>
    <n v="-20"/>
    <m/>
    <m/>
    <m/>
  </r>
  <r>
    <x v="12"/>
    <m/>
    <x v="2"/>
    <m/>
    <m/>
    <x v="35"/>
    <m/>
    <m/>
    <m/>
    <m/>
    <m/>
    <n v="-20"/>
    <m/>
    <m/>
    <m/>
  </r>
  <r>
    <x v="12"/>
    <m/>
    <x v="10"/>
    <m/>
    <m/>
    <x v="36"/>
    <m/>
    <m/>
    <m/>
    <m/>
    <m/>
    <n v="-10"/>
    <m/>
    <m/>
    <m/>
  </r>
  <r>
    <x v="12"/>
    <m/>
    <x v="9"/>
    <m/>
    <m/>
    <x v="37"/>
    <m/>
    <m/>
    <m/>
    <m/>
    <m/>
    <m/>
    <m/>
    <m/>
    <n v="-705"/>
  </r>
  <r>
    <x v="12"/>
    <m/>
    <x v="10"/>
    <m/>
    <m/>
    <x v="38"/>
    <m/>
    <m/>
    <m/>
    <m/>
    <m/>
    <m/>
    <m/>
    <m/>
    <n v="-65"/>
  </r>
  <r>
    <x v="12"/>
    <m/>
    <x v="9"/>
    <m/>
    <m/>
    <x v="39"/>
    <m/>
    <m/>
    <m/>
    <m/>
    <m/>
    <n v="-25"/>
    <m/>
    <m/>
    <m/>
  </r>
  <r>
    <x v="13"/>
    <m/>
    <x v="9"/>
    <m/>
    <m/>
    <x v="40"/>
    <m/>
    <m/>
    <m/>
    <m/>
    <m/>
    <n v="-55.32"/>
    <m/>
    <m/>
    <m/>
  </r>
  <r>
    <x v="13"/>
    <m/>
    <x v="9"/>
    <m/>
    <m/>
    <x v="34"/>
    <m/>
    <m/>
    <m/>
    <m/>
    <m/>
    <n v="-9.3699999999999992"/>
    <m/>
    <m/>
    <m/>
  </r>
  <r>
    <x v="14"/>
    <m/>
    <x v="9"/>
    <m/>
    <m/>
    <x v="34"/>
    <m/>
    <m/>
    <m/>
    <m/>
    <m/>
    <n v="-9.0399999999999991"/>
    <m/>
    <m/>
    <m/>
  </r>
  <r>
    <x v="15"/>
    <m/>
    <x v="9"/>
    <m/>
    <m/>
    <x v="34"/>
    <m/>
    <m/>
    <m/>
    <m/>
    <m/>
    <n v="-8.7200000000000006"/>
    <m/>
    <m/>
    <m/>
  </r>
  <r>
    <x v="16"/>
    <m/>
    <x v="9"/>
    <m/>
    <m/>
    <x v="34"/>
    <m/>
    <m/>
    <m/>
    <m/>
    <m/>
    <n v="-25.17"/>
    <m/>
    <m/>
    <m/>
  </r>
  <r>
    <x v="16"/>
    <m/>
    <x v="9"/>
    <m/>
    <m/>
    <x v="41"/>
    <m/>
    <m/>
    <m/>
    <m/>
    <m/>
    <m/>
    <m/>
    <m/>
    <n v="-134"/>
  </r>
  <r>
    <x v="16"/>
    <m/>
    <x v="9"/>
    <m/>
    <m/>
    <x v="41"/>
    <m/>
    <m/>
    <m/>
    <m/>
    <m/>
    <m/>
    <m/>
    <m/>
    <n v="-267"/>
  </r>
  <r>
    <x v="17"/>
    <m/>
    <x v="9"/>
    <m/>
    <m/>
    <x v="40"/>
    <m/>
    <m/>
    <m/>
    <m/>
    <m/>
    <n v="-129.29"/>
    <m/>
    <m/>
    <m/>
  </r>
  <r>
    <x v="17"/>
    <m/>
    <x v="9"/>
    <m/>
    <m/>
    <x v="40"/>
    <m/>
    <m/>
    <m/>
    <m/>
    <m/>
    <n v="-38.18"/>
    <m/>
    <m/>
    <m/>
  </r>
  <r>
    <x v="18"/>
    <m/>
    <x v="9"/>
    <m/>
    <m/>
    <x v="34"/>
    <m/>
    <m/>
    <m/>
    <m/>
    <m/>
    <n v="-30.97"/>
    <m/>
    <m/>
    <m/>
  </r>
  <r>
    <x v="18"/>
    <m/>
    <x v="9"/>
    <m/>
    <m/>
    <x v="34"/>
    <m/>
    <m/>
    <m/>
    <m/>
    <m/>
    <n v="-24.2"/>
    <m/>
    <m/>
    <m/>
  </r>
  <r>
    <x v="19"/>
    <m/>
    <x v="9"/>
    <m/>
    <m/>
    <x v="34"/>
    <m/>
    <m/>
    <m/>
    <m/>
    <m/>
    <n v="-21.3"/>
    <m/>
    <m/>
    <m/>
  </r>
  <r>
    <x v="19"/>
    <m/>
    <x v="8"/>
    <m/>
    <m/>
    <x v="42"/>
    <m/>
    <m/>
    <m/>
    <m/>
    <m/>
    <m/>
    <m/>
    <n v="844"/>
    <m/>
  </r>
  <r>
    <x v="20"/>
    <m/>
    <x v="2"/>
    <m/>
    <m/>
    <x v="33"/>
    <m/>
    <m/>
    <m/>
    <m/>
    <m/>
    <n v="-11.63"/>
    <m/>
    <m/>
    <m/>
  </r>
  <r>
    <x v="20"/>
    <m/>
    <x v="9"/>
    <m/>
    <m/>
    <x v="34"/>
    <m/>
    <m/>
    <m/>
    <m/>
    <m/>
    <n v="-11.62"/>
    <m/>
    <m/>
    <m/>
  </r>
  <r>
    <x v="21"/>
    <m/>
    <x v="2"/>
    <m/>
    <m/>
    <x v="33"/>
    <m/>
    <m/>
    <m/>
    <m/>
    <m/>
    <n v="-21.03"/>
    <m/>
    <m/>
    <m/>
  </r>
  <r>
    <x v="21"/>
    <m/>
    <x v="9"/>
    <m/>
    <m/>
    <x v="34"/>
    <m/>
    <m/>
    <m/>
    <m/>
    <m/>
    <n v="-15.49"/>
    <m/>
    <m/>
    <m/>
  </r>
  <r>
    <x v="21"/>
    <m/>
    <x v="9"/>
    <m/>
    <m/>
    <x v="34"/>
    <m/>
    <m/>
    <m/>
    <m/>
    <m/>
    <n v="-15.49"/>
    <m/>
    <m/>
    <m/>
  </r>
  <r>
    <x v="21"/>
    <m/>
    <x v="9"/>
    <m/>
    <m/>
    <x v="43"/>
    <m/>
    <m/>
    <m/>
    <m/>
    <m/>
    <m/>
    <n v="-250"/>
    <m/>
    <m/>
  </r>
  <r>
    <x v="21"/>
    <m/>
    <x v="9"/>
    <m/>
    <m/>
    <x v="43"/>
    <m/>
    <m/>
    <m/>
    <m/>
    <m/>
    <m/>
    <n v="-252.8"/>
    <m/>
    <m/>
  </r>
  <r>
    <x v="21"/>
    <m/>
    <x v="9"/>
    <m/>
    <m/>
    <x v="43"/>
    <m/>
    <m/>
    <m/>
    <m/>
    <m/>
    <m/>
    <n v="-250"/>
    <m/>
    <m/>
  </r>
  <r>
    <x v="21"/>
    <m/>
    <x v="9"/>
    <m/>
    <m/>
    <x v="39"/>
    <m/>
    <m/>
    <m/>
    <m/>
    <m/>
    <n v="-12.62"/>
    <m/>
    <m/>
    <m/>
  </r>
  <r>
    <x v="22"/>
    <m/>
    <x v="2"/>
    <m/>
    <m/>
    <x v="44"/>
    <m/>
    <m/>
    <m/>
    <m/>
    <m/>
    <m/>
    <m/>
    <n v="-600"/>
    <m/>
  </r>
  <r>
    <x v="22"/>
    <m/>
    <x v="9"/>
    <m/>
    <m/>
    <x v="43"/>
    <m/>
    <m/>
    <m/>
    <m/>
    <m/>
    <n v="-358.83"/>
    <m/>
    <m/>
    <m/>
  </r>
  <r>
    <x v="23"/>
    <m/>
    <x v="9"/>
    <m/>
    <m/>
    <x v="45"/>
    <m/>
    <m/>
    <m/>
    <m/>
    <m/>
    <n v="-30.8"/>
    <m/>
    <m/>
    <m/>
  </r>
  <r>
    <x v="23"/>
    <m/>
    <x v="10"/>
    <m/>
    <m/>
    <x v="46"/>
    <m/>
    <m/>
    <m/>
    <m/>
    <m/>
    <n v="-30.84"/>
    <m/>
    <m/>
    <m/>
  </r>
  <r>
    <x v="23"/>
    <m/>
    <x v="9"/>
    <m/>
    <m/>
    <x v="43"/>
    <m/>
    <m/>
    <m/>
    <m/>
    <m/>
    <m/>
    <n v="-135"/>
    <m/>
    <m/>
  </r>
  <r>
    <x v="23"/>
    <m/>
    <x v="9"/>
    <m/>
    <m/>
    <x v="39"/>
    <m/>
    <m/>
    <m/>
    <m/>
    <m/>
    <n v="-24.17"/>
    <m/>
    <m/>
    <m/>
  </r>
  <r>
    <x v="24"/>
    <m/>
    <x v="9"/>
    <m/>
    <m/>
    <x v="43"/>
    <m/>
    <m/>
    <m/>
    <m/>
    <m/>
    <n v="-166.12"/>
    <m/>
    <m/>
    <m/>
  </r>
  <r>
    <x v="25"/>
    <m/>
    <x v="2"/>
    <m/>
    <m/>
    <x v="47"/>
    <m/>
    <m/>
    <m/>
    <m/>
    <m/>
    <n v="-29.95"/>
    <m/>
    <m/>
    <m/>
  </r>
  <r>
    <x v="25"/>
    <m/>
    <x v="9"/>
    <m/>
    <m/>
    <x v="43"/>
    <m/>
    <m/>
    <m/>
    <m/>
    <m/>
    <n v="-250"/>
    <m/>
    <m/>
    <m/>
  </r>
  <r>
    <x v="26"/>
    <m/>
    <x v="9"/>
    <m/>
    <m/>
    <x v="43"/>
    <m/>
    <m/>
    <m/>
    <m/>
    <m/>
    <n v="-250"/>
    <m/>
    <m/>
    <m/>
  </r>
  <r>
    <x v="27"/>
    <m/>
    <x v="9"/>
    <m/>
    <m/>
    <x v="43"/>
    <m/>
    <m/>
    <m/>
    <m/>
    <m/>
    <n v="-250"/>
    <m/>
    <m/>
    <m/>
  </r>
  <r>
    <x v="28"/>
    <m/>
    <x v="9"/>
    <m/>
    <m/>
    <x v="43"/>
    <m/>
    <m/>
    <m/>
    <m/>
    <m/>
    <n v="-250"/>
    <m/>
    <m/>
    <m/>
  </r>
  <r>
    <x v="29"/>
    <m/>
    <x v="9"/>
    <m/>
    <m/>
    <x v="43"/>
    <m/>
    <m/>
    <m/>
    <m/>
    <m/>
    <n v="-250"/>
    <m/>
    <m/>
    <m/>
  </r>
  <r>
    <x v="30"/>
    <m/>
    <x v="9"/>
    <m/>
    <m/>
    <x v="43"/>
    <m/>
    <m/>
    <m/>
    <m/>
    <m/>
    <n v="-250"/>
    <m/>
    <m/>
    <m/>
  </r>
  <r>
    <x v="31"/>
    <m/>
    <x v="2"/>
    <m/>
    <m/>
    <x v="48"/>
    <m/>
    <m/>
    <m/>
    <m/>
    <m/>
    <m/>
    <m/>
    <m/>
    <n v="-5000"/>
  </r>
  <r>
    <x v="31"/>
    <m/>
    <x v="9"/>
    <m/>
    <m/>
    <x v="43"/>
    <m/>
    <m/>
    <m/>
    <m/>
    <m/>
    <n v="-249"/>
    <m/>
    <m/>
    <m/>
  </r>
  <r>
    <x v="31"/>
    <m/>
    <x v="9"/>
    <m/>
    <m/>
    <x v="43"/>
    <m/>
    <m/>
    <m/>
    <m/>
    <m/>
    <n v="-248"/>
    <m/>
    <m/>
    <m/>
  </r>
  <r>
    <x v="31"/>
    <m/>
    <x v="6"/>
    <m/>
    <m/>
    <x v="49"/>
    <m/>
    <m/>
    <m/>
    <m/>
    <n v="721"/>
    <m/>
    <m/>
    <m/>
    <m/>
  </r>
  <r>
    <x v="32"/>
    <m/>
    <x v="9"/>
    <m/>
    <m/>
    <x v="43"/>
    <m/>
    <m/>
    <m/>
    <m/>
    <m/>
    <n v="-247"/>
    <m/>
    <m/>
    <m/>
  </r>
  <r>
    <x v="33"/>
    <m/>
    <x v="9"/>
    <m/>
    <m/>
    <x v="50"/>
    <m/>
    <m/>
    <m/>
    <m/>
    <m/>
    <m/>
    <m/>
    <m/>
    <n v="-167.5"/>
  </r>
  <r>
    <x v="33"/>
    <m/>
    <x v="10"/>
    <m/>
    <m/>
    <x v="50"/>
    <m/>
    <m/>
    <m/>
    <m/>
    <m/>
    <m/>
    <m/>
    <m/>
    <n v="-167.5"/>
  </r>
  <r>
    <x v="33"/>
    <m/>
    <x v="2"/>
    <m/>
    <m/>
    <x v="51"/>
    <m/>
    <m/>
    <m/>
    <m/>
    <m/>
    <m/>
    <m/>
    <m/>
    <n v="-315"/>
  </r>
  <r>
    <x v="33"/>
    <m/>
    <x v="8"/>
    <m/>
    <m/>
    <x v="52"/>
    <m/>
    <m/>
    <m/>
    <m/>
    <m/>
    <m/>
    <m/>
    <m/>
    <n v="-26.21"/>
  </r>
  <r>
    <x v="33"/>
    <m/>
    <x v="9"/>
    <m/>
    <m/>
    <x v="53"/>
    <m/>
    <m/>
    <m/>
    <m/>
    <m/>
    <m/>
    <m/>
    <m/>
    <n v="-180"/>
  </r>
  <r>
    <x v="33"/>
    <m/>
    <x v="10"/>
    <m/>
    <m/>
    <x v="53"/>
    <m/>
    <m/>
    <m/>
    <m/>
    <m/>
    <m/>
    <m/>
    <m/>
    <n v="-180"/>
  </r>
  <r>
    <x v="33"/>
    <m/>
    <x v="2"/>
    <m/>
    <m/>
    <x v="54"/>
    <m/>
    <m/>
    <n v="-63"/>
    <m/>
    <m/>
    <m/>
    <m/>
    <m/>
    <m/>
  </r>
  <r>
    <x v="33"/>
    <m/>
    <x v="9"/>
    <m/>
    <m/>
    <x v="55"/>
    <m/>
    <m/>
    <m/>
    <m/>
    <m/>
    <m/>
    <m/>
    <m/>
    <n v="-26.21"/>
  </r>
  <r>
    <x v="34"/>
    <m/>
    <x v="9"/>
    <m/>
    <m/>
    <x v="56"/>
    <m/>
    <m/>
    <m/>
    <m/>
    <m/>
    <n v="-230"/>
    <m/>
    <m/>
    <m/>
  </r>
  <r>
    <x v="35"/>
    <m/>
    <x v="2"/>
    <m/>
    <m/>
    <x v="35"/>
    <m/>
    <m/>
    <m/>
    <m/>
    <m/>
    <n v="-20"/>
    <m/>
    <m/>
    <m/>
  </r>
  <r>
    <x v="35"/>
    <m/>
    <x v="9"/>
    <m/>
    <m/>
    <x v="39"/>
    <m/>
    <m/>
    <m/>
    <m/>
    <m/>
    <n v="-99"/>
    <m/>
    <m/>
    <m/>
  </r>
  <r>
    <x v="36"/>
    <m/>
    <x v="9"/>
    <m/>
    <m/>
    <x v="40"/>
    <m/>
    <m/>
    <m/>
    <m/>
    <m/>
    <n v="-178.23"/>
    <m/>
    <m/>
    <m/>
  </r>
  <r>
    <x v="37"/>
    <m/>
    <x v="9"/>
    <m/>
    <m/>
    <x v="43"/>
    <m/>
    <m/>
    <m/>
    <m/>
    <m/>
    <n v="-252.36"/>
    <m/>
    <m/>
    <m/>
  </r>
  <r>
    <x v="38"/>
    <m/>
    <x v="9"/>
    <m/>
    <m/>
    <x v="33"/>
    <m/>
    <m/>
    <m/>
    <m/>
    <m/>
    <n v="-3.41"/>
    <m/>
    <m/>
    <m/>
  </r>
  <r>
    <x v="38"/>
    <m/>
    <x v="8"/>
    <m/>
    <m/>
    <x v="57"/>
    <m/>
    <m/>
    <m/>
    <m/>
    <m/>
    <n v="2404"/>
    <m/>
    <m/>
    <m/>
  </r>
  <r>
    <x v="39"/>
    <m/>
    <x v="10"/>
    <m/>
    <m/>
    <x v="22"/>
    <m/>
    <m/>
    <m/>
    <m/>
    <m/>
    <m/>
    <m/>
    <m/>
    <m/>
  </r>
  <r>
    <x v="40"/>
    <m/>
    <x v="10"/>
    <m/>
    <m/>
    <x v="58"/>
    <m/>
    <m/>
    <m/>
    <m/>
    <m/>
    <n v="-150"/>
    <m/>
    <m/>
    <m/>
  </r>
  <r>
    <x v="41"/>
    <m/>
    <x v="2"/>
    <m/>
    <m/>
    <x v="59"/>
    <m/>
    <m/>
    <m/>
    <m/>
    <m/>
    <m/>
    <m/>
    <m/>
    <n v="-300"/>
  </r>
  <r>
    <x v="42"/>
    <m/>
    <x v="2"/>
    <m/>
    <m/>
    <x v="33"/>
    <m/>
    <m/>
    <m/>
    <m/>
    <m/>
    <n v="-21"/>
    <m/>
    <m/>
    <m/>
  </r>
  <r>
    <x v="43"/>
    <m/>
    <x v="9"/>
    <m/>
    <m/>
    <x v="60"/>
    <m/>
    <m/>
    <m/>
    <m/>
    <n v="22861"/>
    <m/>
    <m/>
    <n v="1235"/>
    <m/>
  </r>
  <r>
    <x v="43"/>
    <m/>
    <x v="10"/>
    <m/>
    <m/>
    <x v="61"/>
    <m/>
    <m/>
    <m/>
    <m/>
    <n v="5527"/>
    <m/>
    <m/>
    <m/>
    <m/>
  </r>
  <r>
    <x v="43"/>
    <m/>
    <x v="9"/>
    <m/>
    <m/>
    <x v="62"/>
    <m/>
    <m/>
    <m/>
    <m/>
    <m/>
    <m/>
    <m/>
    <m/>
    <n v="1008"/>
  </r>
  <r>
    <x v="44"/>
    <m/>
    <x v="2"/>
    <m/>
    <m/>
    <x v="33"/>
    <m/>
    <m/>
    <m/>
    <m/>
    <m/>
    <n v="-11.51"/>
    <m/>
    <m/>
    <m/>
  </r>
  <r>
    <x v="45"/>
    <m/>
    <x v="9"/>
    <m/>
    <m/>
    <x v="63"/>
    <m/>
    <m/>
    <m/>
    <m/>
    <m/>
    <m/>
    <m/>
    <n v="-220"/>
    <n v="-1567"/>
  </r>
  <r>
    <x v="45"/>
    <m/>
    <x v="9"/>
    <m/>
    <m/>
    <x v="64"/>
    <m/>
    <m/>
    <m/>
    <m/>
    <m/>
    <m/>
    <m/>
    <m/>
    <n v="882"/>
  </r>
  <r>
    <x v="46"/>
    <m/>
    <x v="10"/>
    <m/>
    <m/>
    <x v="50"/>
    <m/>
    <m/>
    <m/>
    <m/>
    <m/>
    <m/>
    <m/>
    <m/>
    <n v="-105"/>
  </r>
  <r>
    <x v="46"/>
    <m/>
    <x v="10"/>
    <m/>
    <m/>
    <x v="58"/>
    <m/>
    <m/>
    <m/>
    <m/>
    <m/>
    <n v="-150"/>
    <m/>
    <m/>
    <m/>
  </r>
  <r>
    <x v="46"/>
    <m/>
    <x v="9"/>
    <m/>
    <m/>
    <x v="65"/>
    <m/>
    <m/>
    <m/>
    <m/>
    <m/>
    <n v="-963"/>
    <m/>
    <m/>
    <m/>
  </r>
  <r>
    <x v="47"/>
    <m/>
    <x v="9"/>
    <m/>
    <m/>
    <x v="66"/>
    <m/>
    <m/>
    <m/>
    <m/>
    <m/>
    <n v="-750"/>
    <m/>
    <m/>
    <m/>
  </r>
  <r>
    <x v="47"/>
    <m/>
    <x v="11"/>
    <m/>
    <m/>
    <x v="67"/>
    <m/>
    <m/>
    <m/>
    <m/>
    <m/>
    <m/>
    <m/>
    <m/>
    <n v="-5319"/>
  </r>
  <r>
    <x v="47"/>
    <m/>
    <x v="11"/>
    <m/>
    <m/>
    <x v="68"/>
    <m/>
    <m/>
    <m/>
    <m/>
    <m/>
    <m/>
    <m/>
    <n v="-1259"/>
    <n v="-3059"/>
  </r>
  <r>
    <x v="47"/>
    <m/>
    <x v="11"/>
    <m/>
    <m/>
    <x v="69"/>
    <m/>
    <m/>
    <m/>
    <m/>
    <m/>
    <m/>
    <m/>
    <m/>
    <n v="-5319"/>
  </r>
  <r>
    <x v="47"/>
    <m/>
    <x v="11"/>
    <m/>
    <m/>
    <x v="70"/>
    <m/>
    <m/>
    <m/>
    <m/>
    <m/>
    <m/>
    <m/>
    <m/>
    <n v="-5319"/>
  </r>
  <r>
    <x v="48"/>
    <m/>
    <x v="2"/>
    <m/>
    <m/>
    <x v="71"/>
    <m/>
    <m/>
    <m/>
    <m/>
    <m/>
    <n v="-27.27"/>
    <m/>
    <m/>
    <m/>
  </r>
  <r>
    <x v="49"/>
    <m/>
    <x v="12"/>
    <m/>
    <m/>
    <x v="22"/>
    <m/>
    <m/>
    <m/>
    <m/>
    <n v="-27167"/>
    <n v="27167.19"/>
    <m/>
    <m/>
    <m/>
  </r>
  <r>
    <x v="50"/>
    <m/>
    <x v="2"/>
    <m/>
    <m/>
    <x v="72"/>
    <m/>
    <m/>
    <m/>
    <m/>
    <m/>
    <n v="-31.52"/>
    <m/>
    <m/>
    <m/>
  </r>
  <r>
    <x v="51"/>
    <m/>
    <x v="2"/>
    <m/>
    <m/>
    <x v="33"/>
    <m/>
    <m/>
    <m/>
    <m/>
    <m/>
    <n v="-15.36"/>
    <m/>
    <m/>
    <m/>
  </r>
  <r>
    <x v="51"/>
    <m/>
    <x v="13"/>
    <m/>
    <m/>
    <x v="33"/>
    <m/>
    <m/>
    <m/>
    <m/>
    <m/>
    <n v="-21.39"/>
    <m/>
    <m/>
    <m/>
  </r>
  <r>
    <x v="51"/>
    <m/>
    <x v="13"/>
    <m/>
    <m/>
    <x v="39"/>
    <m/>
    <m/>
    <m/>
    <m/>
    <m/>
    <n v="-25"/>
    <m/>
    <m/>
    <m/>
  </r>
  <r>
    <x v="52"/>
    <m/>
    <x v="2"/>
    <m/>
    <m/>
    <x v="73"/>
    <m/>
    <m/>
    <m/>
    <m/>
    <m/>
    <n v="-21"/>
    <m/>
    <m/>
    <m/>
  </r>
  <r>
    <x v="53"/>
    <m/>
    <x v="13"/>
    <m/>
    <m/>
    <x v="74"/>
    <m/>
    <m/>
    <m/>
    <m/>
    <m/>
    <n v="-57.67"/>
    <m/>
    <m/>
    <m/>
  </r>
  <r>
    <x v="53"/>
    <m/>
    <x v="13"/>
    <m/>
    <m/>
    <x v="75"/>
    <m/>
    <m/>
    <m/>
    <m/>
    <m/>
    <n v="-20"/>
    <m/>
    <m/>
    <m/>
  </r>
  <r>
    <x v="54"/>
    <m/>
    <x v="13"/>
    <m/>
    <m/>
    <x v="33"/>
    <m/>
    <m/>
    <m/>
    <m/>
    <m/>
    <n v="-12.04"/>
    <m/>
    <m/>
    <m/>
  </r>
  <r>
    <x v="54"/>
    <m/>
    <x v="13"/>
    <m/>
    <m/>
    <x v="76"/>
    <m/>
    <m/>
    <m/>
    <m/>
    <m/>
    <m/>
    <m/>
    <m/>
    <n v="-211"/>
  </r>
  <r>
    <x v="54"/>
    <m/>
    <x v="13"/>
    <m/>
    <m/>
    <x v="74"/>
    <m/>
    <m/>
    <m/>
    <m/>
    <m/>
    <n v="-12.6"/>
    <m/>
    <m/>
    <m/>
  </r>
  <r>
    <x v="55"/>
    <m/>
    <x v="13"/>
    <m/>
    <m/>
    <x v="74"/>
    <m/>
    <m/>
    <m/>
    <m/>
    <m/>
    <n v="-31.21"/>
    <m/>
    <m/>
    <m/>
  </r>
  <r>
    <x v="55"/>
    <m/>
    <x v="13"/>
    <m/>
    <m/>
    <x v="74"/>
    <m/>
    <m/>
    <m/>
    <m/>
    <m/>
    <n v="-31.21"/>
    <m/>
    <m/>
    <m/>
  </r>
  <r>
    <x v="56"/>
    <m/>
    <x v="13"/>
    <m/>
    <m/>
    <x v="74"/>
    <m/>
    <m/>
    <m/>
    <m/>
    <m/>
    <n v="-25.01"/>
    <m/>
    <m/>
    <m/>
  </r>
  <r>
    <x v="57"/>
    <m/>
    <x v="13"/>
    <m/>
    <m/>
    <x v="77"/>
    <m/>
    <m/>
    <m/>
    <m/>
    <m/>
    <n v="-250"/>
    <m/>
    <m/>
    <m/>
  </r>
  <r>
    <x v="57"/>
    <m/>
    <x v="13"/>
    <m/>
    <m/>
    <x v="74"/>
    <m/>
    <m/>
    <m/>
    <m/>
    <m/>
    <n v="-15.34"/>
    <m/>
    <m/>
    <m/>
  </r>
  <r>
    <x v="58"/>
    <m/>
    <x v="13"/>
    <m/>
    <m/>
    <x v="77"/>
    <m/>
    <m/>
    <m/>
    <m/>
    <m/>
    <n v="-500"/>
    <m/>
    <m/>
    <m/>
  </r>
  <r>
    <x v="59"/>
    <m/>
    <x v="2"/>
    <m/>
    <m/>
    <x v="78"/>
    <m/>
    <m/>
    <m/>
    <m/>
    <m/>
    <n v="-215.93"/>
    <m/>
    <m/>
    <m/>
  </r>
  <r>
    <x v="59"/>
    <m/>
    <x v="13"/>
    <m/>
    <m/>
    <x v="74"/>
    <m/>
    <m/>
    <m/>
    <m/>
    <m/>
    <n v="-21"/>
    <m/>
    <m/>
    <m/>
  </r>
  <r>
    <x v="60"/>
    <m/>
    <x v="2"/>
    <m/>
    <m/>
    <x v="79"/>
    <m/>
    <m/>
    <m/>
    <m/>
    <m/>
    <n v="-12"/>
    <m/>
    <m/>
    <m/>
  </r>
  <r>
    <x v="60"/>
    <m/>
    <x v="13"/>
    <m/>
    <m/>
    <x v="77"/>
    <m/>
    <m/>
    <m/>
    <m/>
    <m/>
    <n v="-1500"/>
    <m/>
    <m/>
    <m/>
  </r>
  <r>
    <x v="61"/>
    <m/>
    <x v="13"/>
    <m/>
    <m/>
    <x v="77"/>
    <m/>
    <m/>
    <m/>
    <m/>
    <m/>
    <n v="-1000"/>
    <m/>
    <m/>
    <m/>
  </r>
  <r>
    <x v="61"/>
    <m/>
    <x v="13"/>
    <m/>
    <m/>
    <x v="74"/>
    <m/>
    <m/>
    <m/>
    <m/>
    <m/>
    <n v="-20"/>
    <m/>
    <m/>
    <m/>
  </r>
  <r>
    <x v="62"/>
    <m/>
    <x v="13"/>
    <m/>
    <m/>
    <x v="77"/>
    <m/>
    <m/>
    <m/>
    <m/>
    <m/>
    <n v="-750"/>
    <m/>
    <m/>
    <m/>
  </r>
  <r>
    <x v="62"/>
    <m/>
    <x v="13"/>
    <m/>
    <m/>
    <x v="76"/>
    <m/>
    <m/>
    <m/>
    <m/>
    <m/>
    <m/>
    <m/>
    <m/>
    <n v="-102.15"/>
  </r>
  <r>
    <x v="63"/>
    <m/>
    <x v="13"/>
    <m/>
    <m/>
    <x v="77"/>
    <m/>
    <m/>
    <m/>
    <m/>
    <m/>
    <n v="-750"/>
    <m/>
    <m/>
    <m/>
  </r>
  <r>
    <x v="63"/>
    <m/>
    <x v="13"/>
    <m/>
    <m/>
    <x v="74"/>
    <m/>
    <m/>
    <m/>
    <m/>
    <m/>
    <n v="-17"/>
    <m/>
    <m/>
    <m/>
  </r>
  <r>
    <x v="64"/>
    <m/>
    <x v="13"/>
    <m/>
    <m/>
    <x v="77"/>
    <m/>
    <m/>
    <m/>
    <m/>
    <m/>
    <n v="-1000"/>
    <m/>
    <m/>
    <m/>
  </r>
  <r>
    <x v="64"/>
    <m/>
    <x v="12"/>
    <m/>
    <m/>
    <x v="22"/>
    <m/>
    <m/>
    <m/>
    <m/>
    <n v="-1942"/>
    <n v="1942"/>
    <m/>
    <m/>
    <m/>
  </r>
  <r>
    <x v="65"/>
    <m/>
    <x v="13"/>
    <m/>
    <m/>
    <x v="77"/>
    <m/>
    <m/>
    <m/>
    <m/>
    <m/>
    <n v="-750"/>
    <m/>
    <m/>
    <m/>
  </r>
  <r>
    <x v="66"/>
    <m/>
    <x v="13"/>
    <m/>
    <m/>
    <x v="77"/>
    <m/>
    <m/>
    <m/>
    <m/>
    <m/>
    <n v="-1000"/>
    <m/>
    <m/>
    <m/>
  </r>
  <r>
    <x v="66"/>
    <m/>
    <x v="13"/>
    <m/>
    <m/>
    <x v="74"/>
    <m/>
    <m/>
    <m/>
    <m/>
    <m/>
    <n v="-17.96"/>
    <m/>
    <m/>
    <m/>
  </r>
  <r>
    <x v="66"/>
    <m/>
    <x v="13"/>
    <m/>
    <m/>
    <x v="39"/>
    <m/>
    <m/>
    <m/>
    <m/>
    <m/>
    <n v="-7.95"/>
    <m/>
    <m/>
    <m/>
  </r>
  <r>
    <x v="67"/>
    <m/>
    <x v="13"/>
    <m/>
    <m/>
    <x v="77"/>
    <m/>
    <m/>
    <m/>
    <m/>
    <m/>
    <n v="-750"/>
    <m/>
    <m/>
    <m/>
  </r>
  <r>
    <x v="68"/>
    <m/>
    <x v="13"/>
    <m/>
    <m/>
    <x v="77"/>
    <m/>
    <m/>
    <m/>
    <m/>
    <m/>
    <n v="-750"/>
    <m/>
    <m/>
    <m/>
  </r>
  <r>
    <x v="69"/>
    <m/>
    <x v="13"/>
    <m/>
    <m/>
    <x v="77"/>
    <m/>
    <m/>
    <m/>
    <m/>
    <m/>
    <n v="-750"/>
    <m/>
    <m/>
    <m/>
  </r>
  <r>
    <x v="69"/>
    <m/>
    <x v="13"/>
    <m/>
    <m/>
    <x v="74"/>
    <m/>
    <m/>
    <m/>
    <m/>
    <m/>
    <n v="-8"/>
    <m/>
    <m/>
    <m/>
  </r>
  <r>
    <x v="70"/>
    <m/>
    <x v="13"/>
    <m/>
    <m/>
    <x v="80"/>
    <m/>
    <m/>
    <m/>
    <m/>
    <m/>
    <n v="-90"/>
    <m/>
    <m/>
    <m/>
  </r>
  <r>
    <x v="70"/>
    <m/>
    <x v="13"/>
    <m/>
    <m/>
    <x v="77"/>
    <m/>
    <m/>
    <m/>
    <m/>
    <m/>
    <n v="-500"/>
    <m/>
    <m/>
    <m/>
  </r>
  <r>
    <x v="70"/>
    <m/>
    <x v="13"/>
    <m/>
    <m/>
    <x v="75"/>
    <m/>
    <m/>
    <m/>
    <m/>
    <m/>
    <n v="-11"/>
    <m/>
    <m/>
    <m/>
  </r>
  <r>
    <x v="71"/>
    <m/>
    <x v="13"/>
    <m/>
    <m/>
    <x v="77"/>
    <m/>
    <m/>
    <m/>
    <m/>
    <m/>
    <n v="-550"/>
    <m/>
    <m/>
    <m/>
  </r>
  <r>
    <x v="72"/>
    <m/>
    <x v="13"/>
    <m/>
    <m/>
    <x v="77"/>
    <m/>
    <m/>
    <m/>
    <m/>
    <m/>
    <n v="-250"/>
    <m/>
    <m/>
    <m/>
  </r>
  <r>
    <x v="72"/>
    <m/>
    <x v="2"/>
    <m/>
    <m/>
    <x v="33"/>
    <m/>
    <m/>
    <m/>
    <m/>
    <m/>
    <n v="-15.22"/>
    <m/>
    <m/>
    <m/>
  </r>
  <r>
    <x v="73"/>
    <m/>
    <x v="13"/>
    <m/>
    <m/>
    <x v="77"/>
    <m/>
    <m/>
    <m/>
    <m/>
    <m/>
    <n v="-250"/>
    <m/>
    <m/>
    <m/>
  </r>
  <r>
    <x v="74"/>
    <m/>
    <x v="13"/>
    <m/>
    <m/>
    <x v="33"/>
    <m/>
    <m/>
    <m/>
    <m/>
    <m/>
    <n v="-20.86"/>
    <m/>
    <m/>
    <m/>
  </r>
  <r>
    <x v="75"/>
    <m/>
    <x v="13"/>
    <m/>
    <m/>
    <x v="77"/>
    <m/>
    <m/>
    <m/>
    <m/>
    <m/>
    <n v="-17.77"/>
    <m/>
    <m/>
    <m/>
  </r>
  <r>
    <x v="75"/>
    <m/>
    <x v="13"/>
    <m/>
    <m/>
    <x v="39"/>
    <m/>
    <m/>
    <m/>
    <m/>
    <m/>
    <n v="-49"/>
    <m/>
    <m/>
    <m/>
  </r>
  <r>
    <x v="76"/>
    <m/>
    <x v="13"/>
    <m/>
    <m/>
    <x v="77"/>
    <m/>
    <m/>
    <m/>
    <m/>
    <m/>
    <n v="-250"/>
    <m/>
    <m/>
    <m/>
  </r>
  <r>
    <x v="76"/>
    <m/>
    <x v="13"/>
    <m/>
    <m/>
    <x v="81"/>
    <m/>
    <m/>
    <m/>
    <m/>
    <m/>
    <n v="-25"/>
    <m/>
    <m/>
    <m/>
  </r>
  <r>
    <x v="76"/>
    <m/>
    <x v="13"/>
    <m/>
    <m/>
    <x v="81"/>
    <m/>
    <m/>
    <m/>
    <m/>
    <m/>
    <n v="-15"/>
    <m/>
    <m/>
    <m/>
  </r>
  <r>
    <x v="76"/>
    <m/>
    <x v="13"/>
    <m/>
    <m/>
    <x v="39"/>
    <m/>
    <m/>
    <m/>
    <m/>
    <m/>
    <n v="-47"/>
    <m/>
    <m/>
    <m/>
  </r>
  <r>
    <x v="77"/>
    <m/>
    <x v="13"/>
    <m/>
    <m/>
    <x v="77"/>
    <m/>
    <m/>
    <m/>
    <m/>
    <m/>
    <n v="-970"/>
    <m/>
    <m/>
    <m/>
  </r>
  <r>
    <x v="78"/>
    <m/>
    <x v="13"/>
    <m/>
    <m/>
    <x v="77"/>
    <m/>
    <m/>
    <m/>
    <m/>
    <m/>
    <n v="-500"/>
    <m/>
    <m/>
    <m/>
  </r>
  <r>
    <x v="78"/>
    <m/>
    <x v="13"/>
    <m/>
    <m/>
    <x v="75"/>
    <m/>
    <m/>
    <m/>
    <m/>
    <m/>
    <n v="-50"/>
    <m/>
    <m/>
    <m/>
  </r>
  <r>
    <x v="79"/>
    <m/>
    <x v="13"/>
    <m/>
    <m/>
    <x v="77"/>
    <m/>
    <m/>
    <m/>
    <m/>
    <m/>
    <n v="-250"/>
    <m/>
    <m/>
    <m/>
  </r>
  <r>
    <x v="80"/>
    <m/>
    <x v="13"/>
    <m/>
    <m/>
    <x v="82"/>
    <m/>
    <m/>
    <m/>
    <m/>
    <m/>
    <m/>
    <m/>
    <m/>
    <n v="-980"/>
  </r>
  <r>
    <x v="80"/>
    <m/>
    <x v="13"/>
    <m/>
    <m/>
    <x v="77"/>
    <m/>
    <m/>
    <m/>
    <m/>
    <m/>
    <n v="-250"/>
    <m/>
    <m/>
    <m/>
  </r>
  <r>
    <x v="80"/>
    <m/>
    <x v="13"/>
    <m/>
    <m/>
    <x v="33"/>
    <m/>
    <m/>
    <m/>
    <m/>
    <m/>
    <n v="-11.65"/>
    <m/>
    <m/>
    <m/>
  </r>
  <r>
    <x v="81"/>
    <m/>
    <x v="13"/>
    <m/>
    <m/>
    <x v="77"/>
    <m/>
    <m/>
    <m/>
    <m/>
    <m/>
    <n v="-172"/>
    <m/>
    <m/>
    <m/>
  </r>
  <r>
    <x v="82"/>
    <m/>
    <x v="2"/>
    <m/>
    <m/>
    <x v="83"/>
    <m/>
    <m/>
    <m/>
    <m/>
    <m/>
    <m/>
    <m/>
    <m/>
    <n v="-74"/>
  </r>
  <r>
    <x v="83"/>
    <m/>
    <x v="2"/>
    <m/>
    <m/>
    <x v="84"/>
    <m/>
    <m/>
    <m/>
    <m/>
    <m/>
    <n v="-2.56"/>
    <m/>
    <m/>
    <m/>
  </r>
  <r>
    <x v="84"/>
    <m/>
    <x v="2"/>
    <m/>
    <m/>
    <x v="85"/>
    <m/>
    <m/>
    <m/>
    <m/>
    <m/>
    <n v="-8.7899999999999991"/>
    <m/>
    <m/>
    <m/>
  </r>
  <r>
    <x v="85"/>
    <m/>
    <x v="13"/>
    <m/>
    <m/>
    <x v="22"/>
    <m/>
    <m/>
    <m/>
    <m/>
    <m/>
    <n v="32082"/>
    <m/>
    <m/>
    <m/>
  </r>
  <r>
    <x v="86"/>
    <m/>
    <x v="13"/>
    <m/>
    <m/>
    <x v="33"/>
    <m/>
    <m/>
    <m/>
    <m/>
    <m/>
    <n v="-15.62"/>
    <m/>
    <m/>
    <m/>
  </r>
  <r>
    <x v="87"/>
    <m/>
    <x v="2"/>
    <m/>
    <m/>
    <x v="33"/>
    <m/>
    <m/>
    <m/>
    <m/>
    <m/>
    <n v="-21.33"/>
    <m/>
    <m/>
    <m/>
  </r>
  <r>
    <x v="88"/>
    <m/>
    <x v="2"/>
    <m/>
    <m/>
    <x v="86"/>
    <m/>
    <m/>
    <m/>
    <m/>
    <m/>
    <n v="-17.299999999999997"/>
    <m/>
    <m/>
    <m/>
  </r>
  <r>
    <x v="89"/>
    <m/>
    <x v="13"/>
    <m/>
    <m/>
    <x v="81"/>
    <m/>
    <m/>
    <m/>
    <m/>
    <m/>
    <n v="-40"/>
    <m/>
    <m/>
    <m/>
  </r>
  <r>
    <x v="90"/>
    <m/>
    <x v="13"/>
    <m/>
    <m/>
    <x v="75"/>
    <m/>
    <m/>
    <m/>
    <m/>
    <m/>
    <n v="-50"/>
    <m/>
    <m/>
    <m/>
  </r>
  <r>
    <x v="91"/>
    <m/>
    <x v="13"/>
    <m/>
    <m/>
    <x v="87"/>
    <m/>
    <m/>
    <m/>
    <m/>
    <m/>
    <m/>
    <m/>
    <m/>
    <n v="-19"/>
  </r>
  <r>
    <x v="92"/>
    <m/>
    <x v="2"/>
    <m/>
    <m/>
    <x v="33"/>
    <m/>
    <m/>
    <m/>
    <m/>
    <m/>
    <n v="-11.6"/>
    <m/>
    <m/>
    <m/>
  </r>
  <r>
    <x v="93"/>
    <m/>
    <x v="13"/>
    <m/>
    <m/>
    <x v="88"/>
    <m/>
    <m/>
    <m/>
    <m/>
    <m/>
    <m/>
    <m/>
    <m/>
    <n v="827"/>
  </r>
  <r>
    <x v="93"/>
    <m/>
    <x v="13"/>
    <m/>
    <m/>
    <x v="88"/>
    <m/>
    <m/>
    <m/>
    <m/>
    <m/>
    <m/>
    <m/>
    <m/>
    <n v="-800"/>
  </r>
  <r>
    <x v="93"/>
    <m/>
    <x v="13"/>
    <m/>
    <m/>
    <x v="89"/>
    <m/>
    <m/>
    <n v="-1378"/>
    <m/>
    <m/>
    <m/>
    <m/>
    <m/>
    <m/>
  </r>
  <r>
    <x v="93"/>
    <m/>
    <x v="13"/>
    <m/>
    <m/>
    <x v="37"/>
    <m/>
    <m/>
    <n v="-3000"/>
    <m/>
    <m/>
    <m/>
    <m/>
    <m/>
    <m/>
  </r>
  <r>
    <x v="94"/>
    <m/>
    <x v="2"/>
    <m/>
    <m/>
    <x v="85"/>
    <m/>
    <m/>
    <m/>
    <m/>
    <m/>
    <n v="-12"/>
    <m/>
    <m/>
    <m/>
  </r>
  <r>
    <x v="95"/>
    <m/>
    <x v="14"/>
    <m/>
    <m/>
    <x v="90"/>
    <m/>
    <m/>
    <m/>
    <m/>
    <m/>
    <n v="-38"/>
    <m/>
    <m/>
    <m/>
  </r>
  <r>
    <x v="95"/>
    <m/>
    <x v="14"/>
    <m/>
    <m/>
    <x v="39"/>
    <m/>
    <m/>
    <m/>
    <m/>
    <m/>
    <n v="-25"/>
    <m/>
    <m/>
    <m/>
  </r>
  <r>
    <x v="96"/>
    <m/>
    <x v="15"/>
    <m/>
    <m/>
    <x v="91"/>
    <m/>
    <m/>
    <m/>
    <m/>
    <m/>
    <n v="-251"/>
    <m/>
    <m/>
    <m/>
  </r>
  <r>
    <x v="96"/>
    <m/>
    <x v="13"/>
    <m/>
    <m/>
    <x v="22"/>
    <m/>
    <m/>
    <m/>
    <m/>
    <m/>
    <n v="8332"/>
    <m/>
    <m/>
    <m/>
  </r>
  <r>
    <x v="97"/>
    <m/>
    <x v="14"/>
    <m/>
    <m/>
    <x v="74"/>
    <m/>
    <m/>
    <m/>
    <m/>
    <m/>
    <n v="-39"/>
    <m/>
    <m/>
    <m/>
  </r>
  <r>
    <x v="98"/>
    <m/>
    <x v="14"/>
    <m/>
    <m/>
    <x v="74"/>
    <m/>
    <m/>
    <m/>
    <m/>
    <m/>
    <n v="-19.34"/>
    <m/>
    <m/>
    <m/>
  </r>
  <r>
    <x v="99"/>
    <m/>
    <x v="14"/>
    <m/>
    <m/>
    <x v="74"/>
    <m/>
    <m/>
    <m/>
    <m/>
    <m/>
    <n v="-12.6"/>
    <m/>
    <m/>
    <m/>
  </r>
  <r>
    <x v="100"/>
    <m/>
    <x v="14"/>
    <m/>
    <m/>
    <x v="74"/>
    <m/>
    <m/>
    <m/>
    <m/>
    <m/>
    <n v="-31.21"/>
    <m/>
    <m/>
    <m/>
  </r>
  <r>
    <x v="101"/>
    <m/>
    <x v="11"/>
    <m/>
    <m/>
    <x v="92"/>
    <m/>
    <m/>
    <m/>
    <m/>
    <m/>
    <n v="-6898"/>
    <m/>
    <m/>
    <m/>
  </r>
  <r>
    <x v="102"/>
    <m/>
    <x v="14"/>
    <m/>
    <m/>
    <x v="33"/>
    <m/>
    <m/>
    <m/>
    <m/>
    <m/>
    <n v="-15"/>
    <m/>
    <m/>
    <m/>
  </r>
  <r>
    <x v="102"/>
    <m/>
    <x v="11"/>
    <m/>
    <m/>
    <x v="93"/>
    <m/>
    <m/>
    <m/>
    <m/>
    <m/>
    <n v="-6259"/>
    <m/>
    <m/>
    <m/>
  </r>
  <r>
    <x v="103"/>
    <m/>
    <x v="14"/>
    <m/>
    <m/>
    <x v="74"/>
    <m/>
    <m/>
    <m/>
    <m/>
    <m/>
    <n v="-23"/>
    <m/>
    <m/>
    <m/>
  </r>
  <r>
    <x v="103"/>
    <m/>
    <x v="14"/>
    <m/>
    <m/>
    <x v="94"/>
    <m/>
    <m/>
    <m/>
    <m/>
    <m/>
    <n v="-45"/>
    <m/>
    <m/>
    <m/>
  </r>
  <r>
    <x v="104"/>
    <m/>
    <x v="14"/>
    <m/>
    <m/>
    <x v="33"/>
    <m/>
    <m/>
    <m/>
    <m/>
    <m/>
    <n v="-20"/>
    <m/>
    <m/>
    <m/>
  </r>
  <r>
    <x v="104"/>
    <m/>
    <x v="14"/>
    <m/>
    <m/>
    <x v="74"/>
    <m/>
    <m/>
    <m/>
    <m/>
    <m/>
    <n v="-14"/>
    <m/>
    <m/>
    <m/>
  </r>
  <r>
    <x v="105"/>
    <m/>
    <x v="2"/>
    <m/>
    <m/>
    <x v="33"/>
    <m/>
    <m/>
    <m/>
    <m/>
    <m/>
    <n v="-20.010000000000002"/>
    <m/>
    <m/>
    <m/>
  </r>
  <r>
    <x v="106"/>
    <m/>
    <x v="14"/>
    <m/>
    <m/>
    <x v="95"/>
    <m/>
    <m/>
    <m/>
    <m/>
    <m/>
    <n v="-4290"/>
    <m/>
    <m/>
    <m/>
  </r>
  <r>
    <x v="106"/>
    <m/>
    <x v="14"/>
    <m/>
    <m/>
    <x v="76"/>
    <m/>
    <m/>
    <m/>
    <m/>
    <m/>
    <m/>
    <m/>
    <m/>
    <n v="-327"/>
  </r>
  <r>
    <x v="106"/>
    <m/>
    <x v="14"/>
    <m/>
    <m/>
    <x v="74"/>
    <m/>
    <m/>
    <m/>
    <m/>
    <m/>
    <n v="-17"/>
    <m/>
    <m/>
    <m/>
  </r>
  <r>
    <x v="107"/>
    <m/>
    <x v="14"/>
    <m/>
    <m/>
    <x v="75"/>
    <m/>
    <m/>
    <m/>
    <m/>
    <m/>
    <n v="-50"/>
    <m/>
    <m/>
    <m/>
  </r>
  <r>
    <x v="108"/>
    <m/>
    <x v="2"/>
    <m/>
    <m/>
    <x v="33"/>
    <m/>
    <m/>
    <m/>
    <m/>
    <m/>
    <n v="-11.1"/>
    <m/>
    <m/>
    <m/>
  </r>
  <r>
    <x v="108"/>
    <m/>
    <x v="14"/>
    <m/>
    <m/>
    <x v="56"/>
    <m/>
    <m/>
    <m/>
    <m/>
    <m/>
    <n v="-13"/>
    <m/>
    <m/>
    <m/>
  </r>
  <r>
    <x v="109"/>
    <m/>
    <x v="14"/>
    <m/>
    <m/>
    <x v="80"/>
    <m/>
    <m/>
    <m/>
    <m/>
    <m/>
    <n v="-132.05000000000001"/>
    <m/>
    <m/>
    <m/>
  </r>
  <r>
    <x v="110"/>
    <m/>
    <x v="14"/>
    <m/>
    <m/>
    <x v="56"/>
    <m/>
    <m/>
    <m/>
    <m/>
    <m/>
    <n v="-10"/>
    <m/>
    <m/>
    <m/>
  </r>
  <r>
    <x v="111"/>
    <m/>
    <x v="14"/>
    <m/>
    <m/>
    <x v="39"/>
    <m/>
    <m/>
    <m/>
    <m/>
    <m/>
    <n v="-3.31"/>
    <m/>
    <m/>
    <m/>
  </r>
  <r>
    <x v="112"/>
    <m/>
    <x v="2"/>
    <m/>
    <m/>
    <x v="96"/>
    <m/>
    <m/>
    <m/>
    <m/>
    <m/>
    <n v="-10.46"/>
    <m/>
    <m/>
    <m/>
  </r>
  <r>
    <x v="112"/>
    <m/>
    <x v="14"/>
    <m/>
    <m/>
    <x v="39"/>
    <m/>
    <m/>
    <m/>
    <m/>
    <m/>
    <n v="-0.53"/>
    <m/>
    <m/>
    <m/>
  </r>
  <r>
    <x v="112"/>
    <m/>
    <x v="14"/>
    <m/>
    <m/>
    <x v="97"/>
    <m/>
    <m/>
    <m/>
    <m/>
    <m/>
    <n v="-400"/>
    <m/>
    <m/>
    <m/>
  </r>
  <r>
    <x v="113"/>
    <m/>
    <x v="14"/>
    <m/>
    <m/>
    <x v="39"/>
    <m/>
    <m/>
    <m/>
    <m/>
    <m/>
    <n v="-99"/>
    <m/>
    <m/>
    <m/>
  </r>
  <r>
    <x v="114"/>
    <m/>
    <x v="14"/>
    <m/>
    <m/>
    <x v="56"/>
    <m/>
    <m/>
    <m/>
    <m/>
    <m/>
    <n v="-249"/>
    <m/>
    <m/>
    <m/>
  </r>
  <r>
    <x v="115"/>
    <m/>
    <x v="2"/>
    <m/>
    <m/>
    <x v="98"/>
    <m/>
    <m/>
    <m/>
    <m/>
    <m/>
    <n v="-175"/>
    <m/>
    <m/>
    <m/>
  </r>
  <r>
    <x v="116"/>
    <m/>
    <x v="14"/>
    <m/>
    <m/>
    <x v="50"/>
    <m/>
    <m/>
    <m/>
    <m/>
    <m/>
    <m/>
    <m/>
    <m/>
    <n v="-412"/>
  </r>
  <r>
    <x v="116"/>
    <m/>
    <x v="14"/>
    <m/>
    <m/>
    <x v="33"/>
    <m/>
    <m/>
    <m/>
    <m/>
    <m/>
    <n v="-14.81"/>
    <m/>
    <m/>
    <m/>
  </r>
  <r>
    <x v="116"/>
    <m/>
    <x v="14"/>
    <m/>
    <m/>
    <x v="53"/>
    <m/>
    <m/>
    <m/>
    <m/>
    <m/>
    <m/>
    <m/>
    <m/>
    <n v="-383"/>
  </r>
  <r>
    <x v="116"/>
    <m/>
    <x v="14"/>
    <m/>
    <m/>
    <x v="99"/>
    <m/>
    <m/>
    <m/>
    <m/>
    <m/>
    <m/>
    <m/>
    <m/>
    <n v="-153"/>
  </r>
  <r>
    <x v="116"/>
    <m/>
    <x v="14"/>
    <m/>
    <m/>
    <x v="76"/>
    <m/>
    <m/>
    <m/>
    <m/>
    <m/>
    <m/>
    <m/>
    <m/>
    <n v="-92"/>
  </r>
  <r>
    <x v="116"/>
    <m/>
    <x v="12"/>
    <m/>
    <m/>
    <x v="100"/>
    <m/>
    <m/>
    <m/>
    <m/>
    <m/>
    <n v="112"/>
    <m/>
    <m/>
    <m/>
  </r>
  <r>
    <x v="117"/>
    <m/>
    <x v="2"/>
    <m/>
    <m/>
    <x v="33"/>
    <m/>
    <m/>
    <m/>
    <m/>
    <m/>
    <n v="-20.49"/>
    <m/>
    <m/>
    <m/>
  </r>
  <r>
    <x v="118"/>
    <m/>
    <x v="14"/>
    <m/>
    <m/>
    <x v="95"/>
    <m/>
    <m/>
    <m/>
    <m/>
    <m/>
    <n v="-5772"/>
    <m/>
    <m/>
    <m/>
  </r>
  <r>
    <x v="118"/>
    <m/>
    <x v="15"/>
    <m/>
    <s v="PAGO POR EBOOK TRADUCIDO"/>
    <x v="101"/>
    <m/>
    <m/>
    <m/>
    <m/>
    <m/>
    <n v="-83"/>
    <m/>
    <m/>
    <m/>
  </r>
  <r>
    <x v="119"/>
    <m/>
    <x v="14"/>
    <m/>
    <m/>
    <x v="75"/>
    <m/>
    <m/>
    <m/>
    <m/>
    <m/>
    <n v="-50"/>
    <m/>
    <m/>
    <m/>
  </r>
  <r>
    <x v="120"/>
    <m/>
    <x v="2"/>
    <m/>
    <m/>
    <x v="33"/>
    <m/>
    <m/>
    <m/>
    <m/>
    <m/>
    <n v="-11.05"/>
    <m/>
    <m/>
    <m/>
  </r>
  <r>
    <x v="121"/>
    <m/>
    <x v="14"/>
    <m/>
    <m/>
    <x v="39"/>
    <m/>
    <m/>
    <m/>
    <m/>
    <m/>
    <n v="-99"/>
    <m/>
    <m/>
    <m/>
  </r>
  <r>
    <x v="122"/>
    <m/>
    <x v="2"/>
    <m/>
    <m/>
    <x v="102"/>
    <m/>
    <m/>
    <m/>
    <m/>
    <m/>
    <n v="-8000"/>
    <m/>
    <m/>
    <m/>
  </r>
  <r>
    <x v="123"/>
    <m/>
    <x v="14"/>
    <m/>
    <m/>
    <x v="22"/>
    <m/>
    <m/>
    <m/>
    <m/>
    <m/>
    <n v="29209"/>
    <m/>
    <m/>
    <m/>
  </r>
  <r>
    <x v="124"/>
    <m/>
    <x v="14"/>
    <m/>
    <m/>
    <x v="33"/>
    <m/>
    <m/>
    <m/>
    <m/>
    <m/>
    <n v="-14.75"/>
    <m/>
    <m/>
    <m/>
  </r>
  <r>
    <x v="125"/>
    <m/>
    <x v="2"/>
    <m/>
    <m/>
    <x v="33"/>
    <m/>
    <m/>
    <m/>
    <m/>
    <m/>
    <n v="-20.56"/>
    <m/>
    <m/>
    <m/>
  </r>
  <r>
    <x v="126"/>
    <m/>
    <x v="15"/>
    <m/>
    <m/>
    <x v="95"/>
    <m/>
    <m/>
    <m/>
    <m/>
    <m/>
    <n v="-396"/>
    <m/>
    <m/>
    <m/>
  </r>
  <r>
    <x v="127"/>
    <m/>
    <x v="14"/>
    <m/>
    <m/>
    <x v="103"/>
    <m/>
    <m/>
    <m/>
    <m/>
    <m/>
    <n v="3721"/>
    <m/>
    <m/>
    <m/>
  </r>
  <r>
    <x v="128"/>
    <m/>
    <x v="16"/>
    <m/>
    <m/>
    <x v="75"/>
    <m/>
    <m/>
    <m/>
    <m/>
    <m/>
    <n v="-50"/>
    <m/>
    <m/>
    <m/>
  </r>
  <r>
    <x v="129"/>
    <m/>
    <x v="2"/>
    <m/>
    <m/>
    <x v="33"/>
    <m/>
    <m/>
    <m/>
    <m/>
    <m/>
    <n v="-11"/>
    <m/>
    <m/>
    <m/>
  </r>
  <r>
    <x v="130"/>
    <m/>
    <x v="14"/>
    <m/>
    <m/>
    <x v="104"/>
    <m/>
    <m/>
    <m/>
    <m/>
    <m/>
    <n v="-2903"/>
    <m/>
    <m/>
    <m/>
  </r>
  <r>
    <x v="130"/>
    <m/>
    <x v="14"/>
    <m/>
    <m/>
    <x v="67"/>
    <m/>
    <m/>
    <m/>
    <m/>
    <m/>
    <n v="-5945"/>
    <m/>
    <m/>
    <m/>
  </r>
  <r>
    <x v="130"/>
    <m/>
    <x v="14"/>
    <m/>
    <m/>
    <x v="69"/>
    <m/>
    <m/>
    <m/>
    <m/>
    <m/>
    <n v="-5945"/>
    <m/>
    <m/>
    <m/>
  </r>
  <r>
    <x v="130"/>
    <m/>
    <x v="14"/>
    <m/>
    <m/>
    <x v="70"/>
    <m/>
    <m/>
    <m/>
    <m/>
    <m/>
    <n v="-5945"/>
    <m/>
    <m/>
    <m/>
  </r>
  <r>
    <x v="131"/>
    <m/>
    <x v="16"/>
    <m/>
    <m/>
    <x v="81"/>
    <m/>
    <m/>
    <m/>
    <m/>
    <m/>
    <n v="-15"/>
    <m/>
    <m/>
    <m/>
  </r>
  <r>
    <x v="131"/>
    <m/>
    <x v="16"/>
    <m/>
    <m/>
    <x v="39"/>
    <m/>
    <m/>
    <m/>
    <m/>
    <m/>
    <n v="-99"/>
    <m/>
    <m/>
    <m/>
  </r>
  <r>
    <x v="132"/>
    <m/>
    <x v="2"/>
    <m/>
    <m/>
    <x v="105"/>
    <m/>
    <m/>
    <m/>
    <m/>
    <m/>
    <n v="-10"/>
    <m/>
    <m/>
    <m/>
  </r>
  <r>
    <x v="133"/>
    <m/>
    <x v="12"/>
    <m/>
    <m/>
    <x v="106"/>
    <m/>
    <m/>
    <m/>
    <m/>
    <m/>
    <n v="932"/>
    <m/>
    <m/>
    <m/>
  </r>
  <r>
    <x v="133"/>
    <m/>
    <x v="16"/>
    <m/>
    <m/>
    <x v="107"/>
    <m/>
    <m/>
    <m/>
    <m/>
    <m/>
    <n v="-525"/>
    <m/>
    <m/>
    <m/>
  </r>
  <r>
    <x v="134"/>
    <m/>
    <x v="16"/>
    <m/>
    <m/>
    <x v="108"/>
    <m/>
    <m/>
    <m/>
    <m/>
    <m/>
    <m/>
    <m/>
    <m/>
    <n v="-662"/>
  </r>
  <r>
    <x v="135"/>
    <m/>
    <x v="16"/>
    <m/>
    <m/>
    <x v="109"/>
    <m/>
    <m/>
    <m/>
    <m/>
    <m/>
    <n v="-99"/>
    <m/>
    <m/>
    <m/>
  </r>
  <r>
    <x v="136"/>
    <m/>
    <x v="16"/>
    <m/>
    <m/>
    <x v="33"/>
    <m/>
    <m/>
    <m/>
    <m/>
    <m/>
    <n v="-15"/>
    <m/>
    <m/>
    <m/>
  </r>
  <r>
    <x v="137"/>
    <m/>
    <x v="15"/>
    <m/>
    <m/>
    <x v="95"/>
    <m/>
    <m/>
    <m/>
    <m/>
    <m/>
    <n v="-489"/>
    <m/>
    <m/>
    <m/>
  </r>
  <r>
    <x v="138"/>
    <m/>
    <x v="2"/>
    <m/>
    <m/>
    <x v="33"/>
    <m/>
    <m/>
    <m/>
    <m/>
    <m/>
    <n v="-19.75"/>
    <m/>
    <m/>
    <m/>
  </r>
  <r>
    <x v="139"/>
    <m/>
    <x v="16"/>
    <m/>
    <m/>
    <x v="74"/>
    <m/>
    <m/>
    <m/>
    <m/>
    <m/>
    <n v="-10"/>
    <m/>
    <m/>
    <m/>
  </r>
  <r>
    <x v="140"/>
    <m/>
    <x v="16"/>
    <m/>
    <m/>
    <x v="95"/>
    <m/>
    <m/>
    <m/>
    <m/>
    <m/>
    <n v="-3817"/>
    <m/>
    <m/>
    <m/>
  </r>
  <r>
    <x v="140"/>
    <m/>
    <x v="16"/>
    <m/>
    <m/>
    <x v="110"/>
    <m/>
    <m/>
    <m/>
    <m/>
    <m/>
    <n v="-60"/>
    <m/>
    <m/>
    <m/>
  </r>
  <r>
    <x v="141"/>
    <m/>
    <x v="16"/>
    <m/>
    <m/>
    <x v="111"/>
    <m/>
    <m/>
    <m/>
    <m/>
    <m/>
    <n v="-24"/>
    <m/>
    <m/>
    <m/>
  </r>
  <r>
    <x v="141"/>
    <m/>
    <x v="17"/>
    <m/>
    <m/>
    <x v="112"/>
    <m/>
    <m/>
    <m/>
    <m/>
    <m/>
    <n v="-4033"/>
    <m/>
    <m/>
    <m/>
  </r>
  <r>
    <x v="142"/>
    <m/>
    <x v="2"/>
    <m/>
    <m/>
    <x v="113"/>
    <m/>
    <m/>
    <m/>
    <m/>
    <m/>
    <m/>
    <m/>
    <m/>
    <n v="-336"/>
  </r>
  <r>
    <x v="143"/>
    <m/>
    <x v="16"/>
    <m/>
    <m/>
    <x v="74"/>
    <m/>
    <m/>
    <m/>
    <m/>
    <m/>
    <n v="-7"/>
    <m/>
    <m/>
    <m/>
  </r>
  <r>
    <x v="144"/>
    <m/>
    <x v="16"/>
    <m/>
    <m/>
    <x v="75"/>
    <m/>
    <m/>
    <m/>
    <m/>
    <m/>
    <n v="-50"/>
    <m/>
    <m/>
    <m/>
  </r>
  <r>
    <x v="145"/>
    <m/>
    <x v="16"/>
    <m/>
    <m/>
    <x v="114"/>
    <m/>
    <m/>
    <m/>
    <m/>
    <m/>
    <n v="-1000"/>
    <m/>
    <m/>
    <m/>
  </r>
  <r>
    <x v="146"/>
    <m/>
    <x v="16"/>
    <m/>
    <m/>
    <x v="80"/>
    <m/>
    <m/>
    <m/>
    <m/>
    <m/>
    <n v="-132"/>
    <m/>
    <m/>
    <m/>
  </r>
  <r>
    <x v="146"/>
    <m/>
    <x v="16"/>
    <m/>
    <m/>
    <x v="95"/>
    <m/>
    <m/>
    <m/>
    <m/>
    <m/>
    <n v="-5480"/>
    <m/>
    <m/>
    <m/>
  </r>
  <r>
    <x v="147"/>
    <m/>
    <x v="2"/>
    <m/>
    <m/>
    <x v="85"/>
    <m/>
    <m/>
    <m/>
    <m/>
    <m/>
    <n v="-11"/>
    <m/>
    <m/>
    <m/>
  </r>
  <r>
    <x v="148"/>
    <m/>
    <x v="16"/>
    <m/>
    <m/>
    <x v="97"/>
    <m/>
    <m/>
    <m/>
    <m/>
    <m/>
    <n v="-88"/>
    <m/>
    <m/>
    <m/>
  </r>
  <r>
    <x v="148"/>
    <m/>
    <x v="16"/>
    <m/>
    <m/>
    <x v="115"/>
    <m/>
    <m/>
    <m/>
    <m/>
    <m/>
    <n v="-250"/>
    <m/>
    <m/>
    <m/>
  </r>
  <r>
    <x v="149"/>
    <m/>
    <x v="16"/>
    <m/>
    <m/>
    <x v="76"/>
    <m/>
    <m/>
    <m/>
    <m/>
    <m/>
    <m/>
    <m/>
    <m/>
    <n v="-104"/>
  </r>
  <r>
    <x v="150"/>
    <m/>
    <x v="16"/>
    <m/>
    <m/>
    <x v="74"/>
    <m/>
    <m/>
    <m/>
    <m/>
    <m/>
    <n v="-153"/>
    <m/>
    <m/>
    <m/>
  </r>
  <r>
    <x v="151"/>
    <m/>
    <x v="16"/>
    <m/>
    <m/>
    <x v="81"/>
    <m/>
    <m/>
    <m/>
    <m/>
    <m/>
    <n v="-34"/>
    <m/>
    <m/>
    <m/>
  </r>
  <r>
    <x v="151"/>
    <m/>
    <x v="12"/>
    <m/>
    <m/>
    <x v="22"/>
    <m/>
    <m/>
    <m/>
    <m/>
    <m/>
    <n v="409"/>
    <m/>
    <m/>
    <m/>
  </r>
  <r>
    <x v="151"/>
    <m/>
    <x v="16"/>
    <m/>
    <m/>
    <x v="39"/>
    <m/>
    <m/>
    <m/>
    <m/>
    <m/>
    <n v="-298"/>
    <m/>
    <m/>
    <m/>
  </r>
  <r>
    <x v="152"/>
    <m/>
    <x v="16"/>
    <m/>
    <m/>
    <x v="33"/>
    <m/>
    <m/>
    <m/>
    <m/>
    <m/>
    <n v="-14"/>
    <m/>
    <m/>
    <m/>
  </r>
  <r>
    <x v="152"/>
    <m/>
    <x v="2"/>
    <m/>
    <m/>
    <x v="116"/>
    <m/>
    <m/>
    <m/>
    <m/>
    <m/>
    <n v="-10"/>
    <m/>
    <m/>
    <m/>
  </r>
  <r>
    <x v="153"/>
    <m/>
    <x v="2"/>
    <m/>
    <m/>
    <x v="33"/>
    <m/>
    <m/>
    <m/>
    <m/>
    <m/>
    <n v="-12"/>
    <m/>
    <m/>
    <m/>
  </r>
  <r>
    <x v="154"/>
    <m/>
    <x v="16"/>
    <m/>
    <m/>
    <x v="117"/>
    <m/>
    <m/>
    <m/>
    <m/>
    <m/>
    <m/>
    <m/>
    <m/>
    <n v="-1064"/>
  </r>
  <r>
    <x v="155"/>
    <m/>
    <x v="2"/>
    <m/>
    <m/>
    <x v="33"/>
    <m/>
    <m/>
    <m/>
    <m/>
    <m/>
    <n v="-20"/>
    <m/>
    <m/>
    <m/>
  </r>
  <r>
    <x v="156"/>
    <m/>
    <x v="18"/>
    <m/>
    <m/>
    <x v="111"/>
    <m/>
    <m/>
    <m/>
    <m/>
    <m/>
    <n v="-12"/>
    <m/>
    <m/>
    <m/>
  </r>
  <r>
    <x v="157"/>
    <m/>
    <x v="18"/>
    <m/>
    <m/>
    <x v="75"/>
    <m/>
    <m/>
    <m/>
    <m/>
    <m/>
    <n v="-50"/>
    <m/>
    <m/>
    <m/>
  </r>
  <r>
    <x v="158"/>
    <m/>
    <x v="18"/>
    <m/>
    <m/>
    <x v="80"/>
    <m/>
    <m/>
    <m/>
    <m/>
    <m/>
    <n v="-126"/>
    <m/>
    <m/>
    <m/>
  </r>
  <r>
    <x v="159"/>
    <m/>
    <x v="2"/>
    <m/>
    <m/>
    <x v="33"/>
    <m/>
    <m/>
    <m/>
    <m/>
    <m/>
    <n v="-11"/>
    <m/>
    <m/>
    <m/>
  </r>
  <r>
    <x v="159"/>
    <m/>
    <x v="16"/>
    <m/>
    <m/>
    <x v="22"/>
    <m/>
    <m/>
    <m/>
    <m/>
    <n v="-19997"/>
    <n v="19997"/>
    <m/>
    <m/>
    <m/>
  </r>
  <r>
    <x v="160"/>
    <m/>
    <x v="16"/>
    <m/>
    <m/>
    <x v="118"/>
    <m/>
    <m/>
    <m/>
    <m/>
    <m/>
    <n v="-2326"/>
    <m/>
    <m/>
    <m/>
  </r>
  <r>
    <x v="160"/>
    <m/>
    <x v="16"/>
    <m/>
    <m/>
    <x v="119"/>
    <m/>
    <m/>
    <m/>
    <m/>
    <m/>
    <n v="-3910"/>
    <m/>
    <m/>
    <m/>
  </r>
  <r>
    <x v="160"/>
    <m/>
    <x v="16"/>
    <m/>
    <m/>
    <x v="120"/>
    <m/>
    <m/>
    <m/>
    <n v="-3320"/>
    <m/>
    <n v="-609"/>
    <m/>
    <m/>
    <m/>
  </r>
  <r>
    <x v="160"/>
    <m/>
    <x v="16"/>
    <m/>
    <m/>
    <x v="121"/>
    <m/>
    <m/>
    <m/>
    <m/>
    <m/>
    <n v="-3910"/>
    <m/>
    <m/>
    <m/>
  </r>
  <r>
    <x v="160"/>
    <m/>
    <x v="16"/>
    <m/>
    <m/>
    <x v="122"/>
    <m/>
    <m/>
    <m/>
    <n v="3320"/>
    <n v="24533"/>
    <m/>
    <m/>
    <m/>
    <n v="247"/>
  </r>
  <r>
    <x v="161"/>
    <m/>
    <x v="2"/>
    <m/>
    <m/>
    <x v="85"/>
    <m/>
    <m/>
    <m/>
    <m/>
    <m/>
    <n v="-9"/>
    <m/>
    <m/>
    <m/>
  </r>
  <r>
    <x v="162"/>
    <m/>
    <x v="18"/>
    <m/>
    <m/>
    <x v="95"/>
    <m/>
    <m/>
    <m/>
    <m/>
    <m/>
    <n v="-10333"/>
    <m/>
    <m/>
    <m/>
  </r>
  <r>
    <x v="163"/>
    <m/>
    <x v="18"/>
    <m/>
    <m/>
    <x v="35"/>
    <m/>
    <m/>
    <m/>
    <m/>
    <m/>
    <n v="-10"/>
    <m/>
    <m/>
    <m/>
  </r>
  <r>
    <x v="163"/>
    <m/>
    <x v="12"/>
    <m/>
    <m/>
    <x v="22"/>
    <m/>
    <m/>
    <m/>
    <m/>
    <n v="-2928"/>
    <n v="2928"/>
    <m/>
    <m/>
    <m/>
  </r>
  <r>
    <x v="164"/>
    <m/>
    <x v="18"/>
    <m/>
    <m/>
    <x v="123"/>
    <m/>
    <m/>
    <m/>
    <m/>
    <m/>
    <n v="-500"/>
    <m/>
    <m/>
    <m/>
  </r>
  <r>
    <x v="165"/>
    <m/>
    <x v="2"/>
    <m/>
    <m/>
    <x v="85"/>
    <m/>
    <m/>
    <m/>
    <m/>
    <m/>
    <n v="-15"/>
    <m/>
    <m/>
    <m/>
  </r>
  <r>
    <x v="166"/>
    <m/>
    <x v="18"/>
    <m/>
    <m/>
    <x v="81"/>
    <m/>
    <m/>
    <m/>
    <m/>
    <m/>
    <n v="-35"/>
    <m/>
    <m/>
    <m/>
  </r>
  <r>
    <x v="167"/>
    <m/>
    <x v="16"/>
    <m/>
    <m/>
    <x v="124"/>
    <m/>
    <m/>
    <m/>
    <m/>
    <m/>
    <n v="435"/>
    <m/>
    <m/>
    <m/>
  </r>
  <r>
    <x v="168"/>
    <m/>
    <x v="18"/>
    <m/>
    <m/>
    <x v="74"/>
    <m/>
    <m/>
    <m/>
    <m/>
    <m/>
    <n v="-138"/>
    <m/>
    <m/>
    <m/>
  </r>
  <r>
    <x v="169"/>
    <m/>
    <x v="18"/>
    <m/>
    <m/>
    <x v="33"/>
    <m/>
    <m/>
    <m/>
    <m/>
    <m/>
    <n v="-14"/>
    <m/>
    <m/>
    <m/>
  </r>
  <r>
    <x v="170"/>
    <m/>
    <x v="18"/>
    <m/>
    <m/>
    <x v="39"/>
    <m/>
    <m/>
    <m/>
    <m/>
    <m/>
    <n v="-42"/>
    <m/>
    <m/>
    <m/>
  </r>
  <r>
    <x v="171"/>
    <m/>
    <x v="18"/>
    <m/>
    <m/>
    <x v="125"/>
    <m/>
    <m/>
    <m/>
    <m/>
    <m/>
    <n v="-63"/>
    <m/>
    <m/>
    <m/>
  </r>
  <r>
    <x v="172"/>
    <m/>
    <x v="2"/>
    <m/>
    <m/>
    <x v="33"/>
    <m/>
    <m/>
    <m/>
    <m/>
    <m/>
    <n v="-19"/>
    <m/>
    <m/>
    <m/>
  </r>
  <r>
    <x v="173"/>
    <m/>
    <x v="18"/>
    <m/>
    <m/>
    <x v="126"/>
    <m/>
    <m/>
    <m/>
    <m/>
    <m/>
    <n v="-15"/>
    <m/>
    <m/>
    <m/>
  </r>
  <r>
    <x v="174"/>
    <m/>
    <x v="18"/>
    <m/>
    <m/>
    <x v="75"/>
    <m/>
    <m/>
    <m/>
    <m/>
    <m/>
    <n v="-50"/>
    <m/>
    <m/>
    <m/>
  </r>
  <r>
    <x v="175"/>
    <m/>
    <x v="19"/>
    <m/>
    <m/>
    <x v="127"/>
    <m/>
    <m/>
    <m/>
    <m/>
    <m/>
    <n v="-15"/>
    <m/>
    <m/>
    <m/>
  </r>
  <r>
    <x v="176"/>
    <m/>
    <x v="2"/>
    <m/>
    <m/>
    <x v="85"/>
    <m/>
    <m/>
    <m/>
    <m/>
    <m/>
    <n v="-10.67"/>
    <m/>
    <m/>
    <m/>
  </r>
  <r>
    <x v="176"/>
    <m/>
    <x v="18"/>
    <m/>
    <m/>
    <x v="33"/>
    <m/>
    <m/>
    <m/>
    <m/>
    <m/>
    <n v="-11"/>
    <m/>
    <m/>
    <m/>
  </r>
  <r>
    <x v="176"/>
    <m/>
    <x v="19"/>
    <m/>
    <m/>
    <x v="128"/>
    <m/>
    <m/>
    <m/>
    <m/>
    <m/>
    <n v="-2"/>
    <m/>
    <m/>
    <m/>
  </r>
  <r>
    <x v="177"/>
    <m/>
    <x v="18"/>
    <m/>
    <m/>
    <x v="80"/>
    <m/>
    <m/>
    <m/>
    <m/>
    <m/>
    <n v="-121"/>
    <m/>
    <m/>
    <m/>
  </r>
  <r>
    <x v="177"/>
    <m/>
    <x v="16"/>
    <m/>
    <m/>
    <x v="129"/>
    <m/>
    <m/>
    <m/>
    <m/>
    <m/>
    <m/>
    <m/>
    <m/>
    <n v="-106"/>
  </r>
  <r>
    <x v="178"/>
    <m/>
    <x v="19"/>
    <m/>
    <m/>
    <x v="128"/>
    <m/>
    <m/>
    <m/>
    <m/>
    <m/>
    <n v="-2"/>
    <m/>
    <m/>
    <m/>
  </r>
  <r>
    <x v="179"/>
    <m/>
    <x v="2"/>
    <m/>
    <m/>
    <x v="85"/>
    <m/>
    <m/>
    <m/>
    <m/>
    <m/>
    <n v="-7"/>
    <m/>
    <m/>
    <m/>
  </r>
  <r>
    <x v="180"/>
    <m/>
    <x v="18"/>
    <m/>
    <m/>
    <x v="33"/>
    <m/>
    <m/>
    <m/>
    <m/>
    <m/>
    <n v="-28"/>
    <m/>
    <m/>
    <m/>
  </r>
  <r>
    <x v="181"/>
    <m/>
    <x v="20"/>
    <m/>
    <m/>
    <x v="95"/>
    <m/>
    <m/>
    <m/>
    <m/>
    <m/>
    <n v="-319"/>
    <m/>
    <m/>
    <m/>
  </r>
  <r>
    <x v="181"/>
    <m/>
    <x v="12"/>
    <m/>
    <m/>
    <x v="22"/>
    <m/>
    <m/>
    <m/>
    <m/>
    <n v="-22208"/>
    <n v="22208"/>
    <m/>
    <m/>
    <m/>
  </r>
  <r>
    <x v="182"/>
    <m/>
    <x v="20"/>
    <m/>
    <m/>
    <x v="95"/>
    <m/>
    <m/>
    <m/>
    <m/>
    <m/>
    <n v="-73"/>
    <m/>
    <m/>
    <m/>
  </r>
  <r>
    <x v="183"/>
    <m/>
    <x v="18"/>
    <m/>
    <m/>
    <x v="130"/>
    <m/>
    <m/>
    <m/>
    <m/>
    <m/>
    <n v="-666"/>
    <m/>
    <m/>
    <m/>
  </r>
  <r>
    <x v="183"/>
    <m/>
    <x v="18"/>
    <m/>
    <m/>
    <x v="131"/>
    <m/>
    <m/>
    <m/>
    <m/>
    <m/>
    <n v="-1877"/>
    <m/>
    <m/>
    <n v="-87"/>
  </r>
  <r>
    <x v="183"/>
    <m/>
    <x v="20"/>
    <m/>
    <m/>
    <x v="95"/>
    <m/>
    <m/>
    <m/>
    <m/>
    <m/>
    <n v="-438"/>
    <m/>
    <m/>
    <m/>
  </r>
  <r>
    <x v="183"/>
    <m/>
    <x v="2"/>
    <m/>
    <m/>
    <x v="132"/>
    <m/>
    <m/>
    <m/>
    <m/>
    <m/>
    <n v="-238"/>
    <m/>
    <m/>
    <m/>
  </r>
  <r>
    <x v="184"/>
    <m/>
    <x v="2"/>
    <m/>
    <m/>
    <x v="133"/>
    <m/>
    <m/>
    <m/>
    <m/>
    <m/>
    <n v="-1219"/>
    <m/>
    <m/>
    <m/>
  </r>
  <r>
    <x v="185"/>
    <m/>
    <x v="20"/>
    <m/>
    <m/>
    <x v="95"/>
    <m/>
    <m/>
    <m/>
    <m/>
    <m/>
    <n v="-311"/>
    <m/>
    <m/>
    <m/>
  </r>
  <r>
    <x v="185"/>
    <m/>
    <x v="18"/>
    <m/>
    <m/>
    <x v="122"/>
    <m/>
    <m/>
    <m/>
    <n v="3185"/>
    <n v="24472"/>
    <m/>
    <m/>
    <m/>
    <m/>
  </r>
  <r>
    <x v="186"/>
    <m/>
    <x v="2"/>
    <m/>
    <m/>
    <x v="33"/>
    <m/>
    <m/>
    <m/>
    <m/>
    <m/>
    <n v="-10"/>
    <m/>
    <m/>
    <m/>
  </r>
  <r>
    <x v="186"/>
    <m/>
    <x v="2"/>
    <m/>
    <m/>
    <x v="33"/>
    <m/>
    <m/>
    <m/>
    <m/>
    <m/>
    <n v="-17"/>
    <m/>
    <m/>
    <m/>
  </r>
  <r>
    <x v="186"/>
    <m/>
    <x v="19"/>
    <m/>
    <m/>
    <x v="33"/>
    <m/>
    <m/>
    <m/>
    <m/>
    <m/>
    <n v="-28"/>
    <m/>
    <m/>
    <m/>
  </r>
  <r>
    <x v="186"/>
    <m/>
    <x v="19"/>
    <m/>
    <m/>
    <x v="33"/>
    <m/>
    <m/>
    <m/>
    <m/>
    <m/>
    <n v="-19"/>
    <m/>
    <m/>
    <m/>
  </r>
  <r>
    <x v="186"/>
    <m/>
    <x v="2"/>
    <m/>
    <m/>
    <x v="112"/>
    <m/>
    <m/>
    <m/>
    <m/>
    <m/>
    <n v="-2030"/>
    <m/>
    <m/>
    <m/>
  </r>
  <r>
    <x v="186"/>
    <m/>
    <x v="20"/>
    <m/>
    <m/>
    <x v="122"/>
    <m/>
    <m/>
    <m/>
    <m/>
    <n v="2085"/>
    <m/>
    <m/>
    <m/>
    <m/>
  </r>
  <r>
    <x v="186"/>
    <m/>
    <x v="2"/>
    <m/>
    <m/>
    <x v="134"/>
    <m/>
    <m/>
    <m/>
    <m/>
    <n v="316"/>
    <m/>
    <m/>
    <m/>
    <m/>
  </r>
  <r>
    <x v="187"/>
    <m/>
    <x v="2"/>
    <m/>
    <m/>
    <x v="33"/>
    <m/>
    <m/>
    <m/>
    <m/>
    <m/>
    <n v="-28"/>
    <m/>
    <m/>
    <m/>
  </r>
  <r>
    <x v="187"/>
    <m/>
    <x v="2"/>
    <m/>
    <m/>
    <x v="33"/>
    <m/>
    <m/>
    <m/>
    <m/>
    <m/>
    <n v="-17"/>
    <m/>
    <m/>
    <m/>
  </r>
  <r>
    <x v="187"/>
    <m/>
    <x v="19"/>
    <m/>
    <m/>
    <x v="33"/>
    <m/>
    <m/>
    <m/>
    <m/>
    <m/>
    <n v="-19"/>
    <m/>
    <m/>
    <m/>
  </r>
  <r>
    <x v="187"/>
    <m/>
    <x v="21"/>
    <m/>
    <m/>
    <x v="33"/>
    <m/>
    <m/>
    <m/>
    <m/>
    <m/>
    <n v="-10"/>
    <m/>
    <m/>
    <m/>
  </r>
  <r>
    <x v="187"/>
    <m/>
    <x v="18"/>
    <m/>
    <m/>
    <x v="118"/>
    <m/>
    <m/>
    <m/>
    <m/>
    <m/>
    <n v="-2326"/>
    <m/>
    <m/>
    <m/>
  </r>
  <r>
    <x v="187"/>
    <m/>
    <x v="18"/>
    <m/>
    <m/>
    <x v="119"/>
    <m/>
    <m/>
    <m/>
    <m/>
    <m/>
    <n v="-4031"/>
    <m/>
    <m/>
    <m/>
  </r>
  <r>
    <x v="187"/>
    <m/>
    <x v="18"/>
    <m/>
    <m/>
    <x v="120"/>
    <m/>
    <m/>
    <m/>
    <n v="-3185"/>
    <m/>
    <n v="-850"/>
    <m/>
    <m/>
    <m/>
  </r>
  <r>
    <x v="187"/>
    <m/>
    <x v="18"/>
    <m/>
    <m/>
    <x v="121"/>
    <m/>
    <m/>
    <m/>
    <m/>
    <m/>
    <n v="-4031"/>
    <m/>
    <m/>
    <m/>
  </r>
  <r>
    <x v="187"/>
    <m/>
    <x v="18"/>
    <m/>
    <m/>
    <x v="135"/>
    <m/>
    <m/>
    <m/>
    <m/>
    <m/>
    <n v="942"/>
    <m/>
    <m/>
    <m/>
  </r>
  <r>
    <x v="188"/>
    <m/>
    <x v="20"/>
    <m/>
    <m/>
    <x v="95"/>
    <m/>
    <m/>
    <m/>
    <m/>
    <m/>
    <n v="-630"/>
    <m/>
    <m/>
    <m/>
  </r>
  <r>
    <x v="189"/>
    <m/>
    <x v="20"/>
    <m/>
    <m/>
    <x v="95"/>
    <m/>
    <m/>
    <m/>
    <m/>
    <m/>
    <n v="-310"/>
    <m/>
    <m/>
    <m/>
  </r>
  <r>
    <x v="190"/>
    <m/>
    <x v="20"/>
    <m/>
    <m/>
    <x v="95"/>
    <m/>
    <m/>
    <m/>
    <m/>
    <m/>
    <n v="-261"/>
    <m/>
    <m/>
    <m/>
  </r>
  <r>
    <x v="190"/>
    <m/>
    <x v="2"/>
    <m/>
    <m/>
    <x v="136"/>
    <m/>
    <m/>
    <m/>
    <m/>
    <m/>
    <n v="7"/>
    <m/>
    <m/>
    <m/>
  </r>
  <r>
    <x v="191"/>
    <m/>
    <x v="20"/>
    <m/>
    <m/>
    <x v="95"/>
    <m/>
    <m/>
    <m/>
    <m/>
    <m/>
    <n v="-246"/>
    <m/>
    <m/>
    <m/>
  </r>
  <r>
    <x v="192"/>
    <m/>
    <x v="20"/>
    <m/>
    <m/>
    <x v="95"/>
    <m/>
    <m/>
    <m/>
    <m/>
    <m/>
    <n v="-508"/>
    <m/>
    <m/>
    <m/>
  </r>
  <r>
    <x v="193"/>
    <m/>
    <x v="20"/>
    <m/>
    <m/>
    <x v="95"/>
    <m/>
    <m/>
    <m/>
    <m/>
    <m/>
    <n v="-433"/>
    <m/>
    <m/>
    <m/>
  </r>
  <r>
    <x v="194"/>
    <m/>
    <x v="20"/>
    <m/>
    <m/>
    <x v="95"/>
    <m/>
    <m/>
    <m/>
    <m/>
    <m/>
    <n v="-205"/>
    <m/>
    <m/>
    <m/>
  </r>
  <r>
    <x v="195"/>
    <m/>
    <x v="2"/>
    <m/>
    <m/>
    <x v="137"/>
    <m/>
    <m/>
    <m/>
    <m/>
    <m/>
    <n v="-24"/>
    <m/>
    <m/>
    <m/>
  </r>
  <r>
    <x v="196"/>
    <m/>
    <x v="20"/>
    <m/>
    <m/>
    <x v="95"/>
    <m/>
    <m/>
    <m/>
    <m/>
    <m/>
    <n v="-266"/>
    <m/>
    <m/>
    <m/>
  </r>
  <r>
    <x v="197"/>
    <m/>
    <x v="20"/>
    <m/>
    <m/>
    <x v="95"/>
    <m/>
    <m/>
    <m/>
    <m/>
    <m/>
    <n v="-900"/>
    <m/>
    <m/>
    <m/>
  </r>
  <r>
    <x v="198"/>
    <m/>
    <x v="20"/>
    <m/>
    <m/>
    <x v="95"/>
    <m/>
    <m/>
    <m/>
    <m/>
    <m/>
    <n v="-82"/>
    <m/>
    <m/>
    <m/>
  </r>
  <r>
    <x v="198"/>
    <m/>
    <x v="20"/>
    <m/>
    <m/>
    <x v="95"/>
    <m/>
    <m/>
    <m/>
    <m/>
    <m/>
    <n v="-68"/>
    <m/>
    <m/>
    <m/>
  </r>
  <r>
    <x v="199"/>
    <m/>
    <x v="12"/>
    <m/>
    <s v="RETIRO DINERO"/>
    <x v="22"/>
    <m/>
    <m/>
    <m/>
    <m/>
    <n v="-8978"/>
    <n v="8978"/>
    <m/>
    <m/>
    <m/>
  </r>
  <r>
    <x v="199"/>
    <s v="SALIDA"/>
    <x v="19"/>
    <m/>
    <m/>
    <x v="137"/>
    <m/>
    <m/>
    <m/>
    <m/>
    <m/>
    <n v="-14"/>
    <m/>
    <m/>
    <m/>
  </r>
  <r>
    <x v="199"/>
    <s v="SALIDA"/>
    <x v="19"/>
    <m/>
    <m/>
    <x v="75"/>
    <m/>
    <m/>
    <m/>
    <m/>
    <m/>
    <n v="-50"/>
    <m/>
    <m/>
    <m/>
  </r>
  <r>
    <x v="200"/>
    <m/>
    <x v="2"/>
    <m/>
    <s v="pago hecho a andres antequera de la parte que corresponde a joshua"/>
    <x v="138"/>
    <m/>
    <m/>
    <m/>
    <m/>
    <m/>
    <n v="-1483"/>
    <m/>
    <m/>
    <m/>
  </r>
  <r>
    <x v="201"/>
    <s v="SALIDA"/>
    <x v="19"/>
    <m/>
    <m/>
    <x v="139"/>
    <m/>
    <m/>
    <m/>
    <m/>
    <m/>
    <n v="-50"/>
    <m/>
    <m/>
    <m/>
  </r>
  <r>
    <x v="202"/>
    <m/>
    <x v="22"/>
    <m/>
    <s v="FEE AGENCIA"/>
    <x v="140"/>
    <m/>
    <n v="1000"/>
    <m/>
    <m/>
    <m/>
    <m/>
    <m/>
    <m/>
    <m/>
  </r>
  <r>
    <x v="202"/>
    <m/>
    <x v="22"/>
    <m/>
    <s v="VENTAS ENERO"/>
    <x v="60"/>
    <m/>
    <n v="3149"/>
    <m/>
    <m/>
    <m/>
    <m/>
    <m/>
    <m/>
    <m/>
  </r>
  <r>
    <x v="202"/>
    <m/>
    <x v="20"/>
    <m/>
    <s v="VENTAS ENERO"/>
    <x v="60"/>
    <m/>
    <m/>
    <m/>
    <m/>
    <n v="6305"/>
    <m/>
    <m/>
    <m/>
    <m/>
  </r>
  <r>
    <x v="203"/>
    <m/>
    <x v="2"/>
    <m/>
    <s v="PAGO FINAL ANDRES ANTEQUERA: 3.000.000 + 800.000 CAMARA DE COMERCIO"/>
    <x v="138"/>
    <m/>
    <m/>
    <m/>
    <m/>
    <m/>
    <n v="-904"/>
    <m/>
    <m/>
    <m/>
  </r>
  <r>
    <x v="203"/>
    <m/>
    <x v="2"/>
    <m/>
    <s v="JORGE: 1.400.000 + CARLOS 800.000 + RAQUEL 498.000 + SOFIA 100.000 + 2.100.000 ORGANICO + CURSOS 379.600 "/>
    <x v="141"/>
    <m/>
    <m/>
    <m/>
    <m/>
    <m/>
    <n v="-1256"/>
    <m/>
    <m/>
    <m/>
  </r>
  <r>
    <x v="204"/>
    <m/>
    <x v="2"/>
    <m/>
    <m/>
    <x v="142"/>
    <m/>
    <m/>
    <m/>
    <m/>
    <m/>
    <n v="-14"/>
    <m/>
    <m/>
    <m/>
  </r>
  <r>
    <x v="204"/>
    <s v="SALIDA"/>
    <x v="19"/>
    <m/>
    <m/>
    <x v="75"/>
    <m/>
    <m/>
    <m/>
    <m/>
    <m/>
    <n v="-50"/>
    <m/>
    <m/>
    <m/>
  </r>
  <r>
    <x v="205"/>
    <m/>
    <x v="23"/>
    <m/>
    <m/>
    <x v="143"/>
    <m/>
    <m/>
    <m/>
    <m/>
    <m/>
    <n v="-18"/>
    <m/>
    <m/>
    <m/>
  </r>
  <r>
    <x v="206"/>
    <m/>
    <x v="22"/>
    <m/>
    <m/>
    <x v="95"/>
    <m/>
    <m/>
    <m/>
    <m/>
    <m/>
    <n v="-2"/>
    <m/>
    <m/>
    <m/>
  </r>
  <r>
    <x v="206"/>
    <s v="SALIDA"/>
    <x v="19"/>
    <m/>
    <m/>
    <x v="144"/>
    <m/>
    <m/>
    <m/>
    <m/>
    <m/>
    <n v="-15"/>
    <m/>
    <m/>
    <m/>
  </r>
  <r>
    <x v="207"/>
    <m/>
    <x v="20"/>
    <m/>
    <m/>
    <x v="95"/>
    <m/>
    <m/>
    <m/>
    <m/>
    <m/>
    <n v="-1901"/>
    <m/>
    <m/>
    <m/>
  </r>
  <r>
    <x v="207"/>
    <m/>
    <x v="24"/>
    <m/>
    <m/>
    <x v="90"/>
    <m/>
    <m/>
    <m/>
    <m/>
    <m/>
    <n v="-38"/>
    <m/>
    <m/>
    <m/>
  </r>
  <r>
    <x v="208"/>
    <s v="SALIDA"/>
    <x v="19"/>
    <s v="HOSTING"/>
    <s v="VPS BOTS, HOSTING WEB, VPS GERSSON"/>
    <x v="33"/>
    <m/>
    <m/>
    <m/>
    <m/>
    <m/>
    <n v="-47"/>
    <m/>
    <m/>
    <m/>
  </r>
  <r>
    <x v="209"/>
    <m/>
    <x v="24"/>
    <m/>
    <m/>
    <x v="145"/>
    <m/>
    <m/>
    <m/>
    <m/>
    <m/>
    <n v="-22"/>
    <m/>
    <m/>
    <m/>
  </r>
  <r>
    <x v="210"/>
    <m/>
    <x v="22"/>
    <m/>
    <s v="UTILIDADES 1 ENE-15 FEB"/>
    <x v="146"/>
    <m/>
    <n v="-5728"/>
    <m/>
    <m/>
    <m/>
    <m/>
    <m/>
    <m/>
    <m/>
  </r>
  <r>
    <x v="210"/>
    <s v="INGRESO"/>
    <x v="19"/>
    <m/>
    <m/>
    <x v="147"/>
    <m/>
    <m/>
    <m/>
    <m/>
    <m/>
    <n v="10000"/>
    <m/>
    <m/>
    <m/>
  </r>
  <r>
    <x v="211"/>
    <s v="SALIDA"/>
    <x v="19"/>
    <m/>
    <m/>
    <x v="80"/>
    <m/>
    <m/>
    <m/>
    <m/>
    <m/>
    <n v="-127"/>
    <m/>
    <m/>
    <m/>
  </r>
  <r>
    <x v="212"/>
    <m/>
    <x v="20"/>
    <m/>
    <s v="VENTAS FEBRERO"/>
    <x v="60"/>
    <m/>
    <m/>
    <m/>
    <m/>
    <n v="1082"/>
    <m/>
    <m/>
    <m/>
    <m/>
  </r>
  <r>
    <x v="213"/>
    <s v="SALIDA"/>
    <x v="19"/>
    <m/>
    <m/>
    <x v="148"/>
    <m/>
    <m/>
    <m/>
    <m/>
    <m/>
    <n v="-177"/>
    <m/>
    <m/>
    <m/>
  </r>
  <r>
    <x v="213"/>
    <m/>
    <x v="2"/>
    <s v="HOSTING"/>
    <s v="VPS N8N AGENCIA, DOMINIO REDIRECCIONES"/>
    <x v="33"/>
    <m/>
    <m/>
    <m/>
    <m/>
    <m/>
    <n v="-33.42"/>
    <m/>
    <m/>
    <m/>
  </r>
  <r>
    <x v="214"/>
    <m/>
    <x v="2"/>
    <m/>
    <m/>
    <x v="149"/>
    <m/>
    <m/>
    <m/>
    <m/>
    <m/>
    <n v="-20"/>
    <m/>
    <m/>
    <m/>
  </r>
  <r>
    <x v="215"/>
    <s v="SALIDA"/>
    <x v="19"/>
    <m/>
    <m/>
    <x v="74"/>
    <m/>
    <m/>
    <m/>
    <m/>
    <m/>
    <n v="-130"/>
    <m/>
    <m/>
    <m/>
  </r>
  <r>
    <x v="216"/>
    <m/>
    <x v="12"/>
    <m/>
    <m/>
    <x v="22"/>
    <m/>
    <m/>
    <m/>
    <m/>
    <n v="-5431"/>
    <n v="5431"/>
    <m/>
    <m/>
    <m/>
  </r>
  <r>
    <x v="216"/>
    <s v="SALIDA"/>
    <x v="19"/>
    <m/>
    <m/>
    <x v="74"/>
    <m/>
    <m/>
    <m/>
    <m/>
    <m/>
    <n v="-7"/>
    <m/>
    <m/>
    <m/>
  </r>
  <r>
    <x v="217"/>
    <s v="SALIDA"/>
    <x v="19"/>
    <m/>
    <m/>
    <x v="39"/>
    <m/>
    <m/>
    <m/>
    <m/>
    <m/>
    <n v="-89"/>
    <m/>
    <m/>
    <m/>
  </r>
  <r>
    <x v="218"/>
    <s v="SALIDA"/>
    <x v="19"/>
    <m/>
    <m/>
    <x v="150"/>
    <m/>
    <m/>
    <m/>
    <m/>
    <m/>
    <n v="-5"/>
    <m/>
    <m/>
    <m/>
  </r>
  <r>
    <x v="219"/>
    <s v="SALIDA"/>
    <x v="19"/>
    <m/>
    <s v="27/02/2025_x0009_Card charge (MANYCHAT.COM)_x000a_27/02/2025_x0009_Card charge (MANYCHAT.COM)_x000a_27/02/2025_x0009_Card charge (MANYCHAT.COM)_x000a_27/02/2025_x0009_Card charge (MANYCHAT.COM)_x000a_27/02/2025_x0009_Card charge (MANYCHAT.COM)_x000a_27/02/2025_x0009_Card charge (MANYCHAT.COM)_x000a_27/02/2025_x0009_Card charge (MANYCHAT.COM)_x000a_27/02/2025_x0009_Card charge (MANYCHAT.COM)_x000a_27/02/2025_x0009_Card charge (MANYCHAT.COM)_x000a_27/02/2025_x0009_Card charge (MANYCHAT.COM)_x000a_27/02/2025_x0009_Card charge (MANYCHAT.COM)_x000a_27/02/2025_x0009_Card charge (MANYCHAT.COM)_x000a_27/02/2025_x0009_Card charge (MANYCHAT.COM)_x000a_27/02/2025_x0009_Card charge (MANYCHAT.COM)_x000a_27/02/2025_x0009_Card charge (MANYCHAT.COM)_x000a_26/02/2025_x0009_Card charge (MANYCHAT.COM)_x000a_26/02/2025_x0009_Card charge (MANYCHAT.COM)_x000a_26/02/2025_x0009_Card charge (MANYCHAT.COM)_x000a_26/02/2025_x0009_Card charge (MANYCHAT.COM)_x000a_26/02/2025_x0009_Card charge (MANYCHAT.COM)_x000a_26/02/2025_x0009_Card charge (MANYCHAT.COM)_x000a_26/02/2025_x0009_Card charge (MANYCHAT.COM)_x000a_26/02/2025_x0009_Card charge (MANYCHAT.COM)_x000a_26/02/2025_x0009_Card charge (MANYCHAT.COM)_x000a_25/02/2025_x0009_Card charge (MANYCHAT.COM)_x000a_25/02/2025_x0009_Card charge (MANYCHAT.COM)_x000a_25/02/2025_x0009_Card charge (MANYCHAT.COM)_x000a_25/02/2025_x0009_Card charge (MANYCHAT.COM)_x000a_25/02/2025_x0009_Card charge (MANYCHAT.COM)_x000a_25/02/2025_x0009_Card charge (MANYCHAT.COM)_x000a_25/02/2025_x0009_Card charge (MANYCHAT.COM)_x000a_25/02/2025_x0009_Card charge (MANYCHAT.COM)_x000a_25/02/2025_x0009_Card charge (MANYCHAT.COM)_x000a_22/02/2025_x0009_Card charge (MANYCHAT.COM)_x000a_21/02/2025_x0009_Card charge (MANYCHAT.COM)_x000a_21/02/2025_x0009_Card charge (MANYCHAT.COM)_x000a_20/02/2025_x0009_Card charge (MANYCHAT.COM)_x000a_20/02/2025_x0009_Card charge (MANYCHAT.COM)_x000a_20/02/2025_x0009_Card charge (MANYCHAT.COM)_x000a_19/02/2025_x0009_Card charge (MANYCHAT.COM)_x000a_18/02/2025_x0009_Card charge (MANYCHAT.COM)_x000a_17/02/2025_x0009_Card charge (MANYCHAT.COM)_x000a_17/02/2025_x0009_Card charge (MANYCHAT.COM)_x000a_17/02/2025_x0009_Card charge (MANYCHAT.COM)_x000a_16/02/2025_x0009_Card charge (MANYCHAT.COM)_x000a_16/02/2025_x0009_Card charge (MANYCHAT.COM)_x000a_13/02/2025_x0009_Card charge (MANYCHAT.COM)_x000a_12/02/2025_x0009_Card charge (MANYCHAT.COM)_x000a_11/02/2025_x0009_Card charge (MANYCHAT.COM)_x000a_10/02/2025_x0009_Card charge (MANYCHAT.COM)_x000a_9/02/2025_x0009_Card charge (MANYCHAT.COM)_x000a_9/02/2025_x0009_Card charge (MANYCHAT.COM)_x000a_8/02/2025_x0009_Card charge (MANYCHAT.COM)_x000a_7/02/2025_x0009_Card charge (MANYCHAT.COM)_x000a_5/02/2025_x0009_Card charge (MANYCHAT.COM)_x000a_2/02/2025_x0009_Card charge (MANYCHAT.COM)_x000a_2/02/2025_x0009_Card charge (MANYCHAT.COM)_x000a_31/01/2025_x0009_Card charge (MANYCHAT.COM)_x000a_30/01/2025_x0009_Card charge (MANYCHAT.COM)_x000a_29/01/2025_x0009_Card charge (MANYCHAT.COM)_x000a_29/01/2025_x0009_Card charge (MANYCHAT.COM)_x000a_13/01/2025_x0009_Card charge (MANYCHAT.COM)"/>
    <x v="81"/>
    <m/>
    <m/>
    <m/>
    <m/>
    <m/>
    <n v="-2653"/>
    <m/>
    <m/>
    <m/>
  </r>
  <r>
    <x v="220"/>
    <s v="SALIDA"/>
    <x v="19"/>
    <s v="VPS"/>
    <s v="VPS BOTS + API PUNTAJE"/>
    <x v="33"/>
    <m/>
    <m/>
    <m/>
    <m/>
    <m/>
    <n v="-20"/>
    <m/>
    <m/>
    <m/>
  </r>
  <r>
    <x v="220"/>
    <s v="SALIDA"/>
    <x v="19"/>
    <m/>
    <s v="VENTAS"/>
    <x v="60"/>
    <m/>
    <m/>
    <m/>
    <m/>
    <n v="44523"/>
    <m/>
    <m/>
    <m/>
    <m/>
  </r>
  <r>
    <x v="220"/>
    <m/>
    <x v="22"/>
    <m/>
    <s v="VENTAS FEBRERO"/>
    <x v="60"/>
    <m/>
    <n v="2260"/>
    <m/>
    <m/>
    <m/>
    <m/>
    <m/>
    <m/>
    <m/>
  </r>
  <r>
    <x v="220"/>
    <s v="SALIDA"/>
    <x v="19"/>
    <m/>
    <s v="MAILERLITE"/>
    <x v="74"/>
    <m/>
    <m/>
    <m/>
    <m/>
    <m/>
    <n v="-250"/>
    <m/>
    <m/>
    <m/>
  </r>
  <r>
    <x v="221"/>
    <s v="SALIDA"/>
    <x v="19"/>
    <m/>
    <s v="PAGOS DE FEBRERO"/>
    <x v="151"/>
    <m/>
    <m/>
    <m/>
    <m/>
    <m/>
    <n v="-1680.4878048780488"/>
    <m/>
    <m/>
    <m/>
  </r>
  <r>
    <x v="222"/>
    <m/>
    <x v="23"/>
    <m/>
    <s v="PAGO DE GREAT PAGES DE MARZO"/>
    <x v="143"/>
    <m/>
    <m/>
    <m/>
    <m/>
    <m/>
    <n v="-30"/>
    <m/>
    <m/>
    <m/>
  </r>
  <r>
    <x v="222"/>
    <s v="SALIDA"/>
    <x v="19"/>
    <m/>
    <s v="MANYCHAT ENVIOS MASIVOS"/>
    <x v="81"/>
    <m/>
    <m/>
    <m/>
    <m/>
    <m/>
    <n v="-150"/>
    <m/>
    <m/>
    <m/>
  </r>
  <r>
    <x v="222"/>
    <s v="SALIDA"/>
    <x v="19"/>
    <m/>
    <m/>
    <x v="75"/>
    <m/>
    <m/>
    <m/>
    <m/>
    <m/>
    <n v="-50"/>
    <m/>
    <m/>
    <m/>
  </r>
  <r>
    <x v="223"/>
    <m/>
    <x v="2"/>
    <m/>
    <s v="DESARROLLO DE PLATAFORMA API"/>
    <x v="149"/>
    <m/>
    <m/>
    <m/>
    <m/>
    <m/>
    <n v="-16"/>
    <m/>
    <m/>
    <m/>
  </r>
  <r>
    <x v="223"/>
    <m/>
    <x v="22"/>
    <m/>
    <s v="BOT DE IA "/>
    <x v="35"/>
    <m/>
    <m/>
    <m/>
    <m/>
    <m/>
    <n v="-5"/>
    <m/>
    <m/>
    <m/>
  </r>
  <r>
    <x v="224"/>
    <m/>
    <x v="2"/>
    <s v="HOSTING"/>
    <s v="HOSTING WEB AGENCIA"/>
    <x v="33"/>
    <m/>
    <m/>
    <m/>
    <m/>
    <m/>
    <n v="-11"/>
    <m/>
    <m/>
    <m/>
  </r>
  <r>
    <x v="225"/>
    <s v="SALIDA"/>
    <x v="19"/>
    <m/>
    <s v="(FACEBK *4SYMLL4PX2)_x000a_(FACEBK *SEBSEL4PX2)_x000a_(FACEBK *H9DYAKQPX2)_x000a_(FACEBK *85FHZKYPX2)_x000a_(FACEBK *MXAFALCPX2)_x000a_(FACEBK *H9HN5LLPX2)_x000a_(FACEBK *HRXS6KQPX2)_x000a_(FACEBK *RCDF5KQPX2)_x000a_(FACEBK *LAB93LCPX2)_x000a_Card charge (FACEBK *PKZ7CL8PX2)_x000a_Card charge (FACEBK *CVVY3L4PX2)_x000a_Card charge (FACEBK *DJTFTKLPX2)_x000a_Card charge (FACEBK *9HY9ZK4PX2)_x000a_Card charge (FACEBK *LM2PYK4PX2)_x000a_Card charge (FACEBK *AWFUKKYPX2)_x000a_Card charge (FACEBK *6FVDKKYPX2)_x000a_Card charge (FACEBK *EUEEJMUPX2)_x000a_Card charge (FACEBK *RTKHEL4QX2)_x000a_Card charge (FACEBK *ND57QKLPX2)_x000a_Card charge (FACEBK *FHW3JMUPX2)_x000a_Card charge (FACEBK *JHHVDL4QX2)_x000a_Card charge (FACEBK *8SKBRJQPX2)_x000a_Card charge (FACEBK *HU7EGKYPX2)_x000a_Card charge (FACEBK *BHK3UJGPX2)_x000a_Card charge (FACEBK *QMQD3L8PX2)_x000a_Card charge (FACEBK *BVTQEMUPX2)_x000a_Card charge (FACEBK *UK4V2L8PX2)_x000a_Card charge (FACEBK *B39SLKLPX2)_x000a_Card charge (FACEBK *G5AHKKLPX2)_x000a_Card charge (FACEBK *68SEAL4QX2)_x000a_Card charge (FACEBK *5HZUXK8PX2)_x000a_Card charge (FACEBK *KB2E5L4QX2)_x000a_Card charge (FACEBK *EKCX7KYPX2)_x000a_Card charge (FACEBK *UHSMKK4PX2)_x000a_Card charge (FACEBK *HWPWBKLPX2)_x000a_Card charge (FACEBK *5QP6FKCPX2)_x000a_Card charge (FACEBK *BCKY3MUPX2)_x000a_Card charge (FACEBK *43BKCKCPX2)_x000a_Card charge (FACEBK *9HGBAKCPX2)_x000a_Card charge (FACEBK *FX5RVJYPX2)_x000a_Card charge (FACEBK *GF6DQK4QX2)_x000a_Card charge (FACEBK *PYMYKK4QX2)_x000a_Card charge (FACEBK *9HBDKK4QX2)_x000a_Card charge (FACEBK *KTMAZHGPX2)_x000a_Card charge (FACEBK *B5ZSJK4QX2)_x000a_Card charge (FACEBK *4WQRWJCPX2)_x000a_Card charge (FACEBK *4UPZHK4QX2)_x000a_Card charge (FACEBK *XQC7WJCPX2)_x000a_Card charge (FACEBK *GVGBUHQPX2)_x000a_Card charge (FACEBK *UNX5XHGPX2)_x000a_Card charge (FACEBK *E4XN6K8PX2)_x000a_Card charge (FACEBK *C52E6K8PX2)_x000a_Card charge (FACEBK *83TPSHQPX2)_x000a_Card charge (FACEBK *73RPVHGPX2)_x000a_Card charge (FACEBK *VGM4WHGPX2)_x000a_Card charge (FACEBK *3ABQUHGPX2)_x000a_Card charge (FACEBK *QPQ8SHQPX2)_x000a_Card charge (FACEBK *A2CBPJLPX2)_x000a_Card charge (FACEBK *GJ2ZPJCPX2)_x000a_Card charge (FACEBK *AYF3BK4QX2)_x000a_Card charge (FACEBK *95FGVJ4PX2)_x000a_Card charge (FACEBK *5U59NJLPX2)_x000a_Card charge (FACEBK *4PBHFJYPX2)_x000a_Card charge (FACEBK *QJLWUJ4PX2)_x000a_Card charge (FACEBK *G62FTHGPX2)_x000a_Card charge (FACEBK *93DQLJLPX2)_x000a_Card charge (FACEBK *PC83PHQPX2)_x000a_Card charge (FACEBK *46JSMHQPX2)_x000a_Card charge (FACEBK *WLXNJJLPX2)_x000a_Card charge (FACEBK *P72GCJYPX2)_x000a_Card charge (FACEBK *NG64HJLPX2)_x000a_Card charge (FACEBK *2YZRNJ4PX2)_x000a_Card charge (FACEBK *SVH8UJ8PX2)_x000a_Card charge (FACEBK *L5DS6LUPX2)_x000a_Card charge (FACEBK *3A65KJ4PX2)_x000a_Card charge (FACEBK *9JDTAJLPX2)_x000a_Card charge (FACEBK *8JWZZKUPX2)_x000a_Card charge (FACEBK *N42GFHGPX2)_x000a_Card charge (FACEBK *WUNX7JLPX2)_x000a_Card charge (FACEBK *BTHYCHGPX2)_x000a_Card charge (FACEBK *GP5Y8HQPX2)_x000a_Card charge (FACEBK *3SZA8HQPX2)_x000a_Card charge (FACEBK *5AWYWHYPX2)_x000a_Card charge (FACEBK *CRUL9HGPX2)_x000a_Card charge (FACEBK *DVGX6JCPX2)_x000a_Card charge (FACEBK *6XLK5JCPX2)_x000a_Card charge (FACEBK *KCMPCJ8PX2)_x000a_Card charge (FACEBK *VLYZ3J4PX2)_x000a_Card charge (FACEBK *QLA8KKUPX2)_x000a_Card charge (FACEBK *U8HHRGQPX2)_x000a_Card charge (FACEBK *G5CRAJ4QX2)_x000a_Card charge (FACEBK *SPT6BHYPX2)_x000a_Card charge (FACEBK *29GGTH8PX2)_x000a_Card charge (FACEBK *MBWS5HYPX2)_x000a_Card charge (FACEBK *47PEMH8PX2)_x000a_Card charge (FACEBK *Y6HLXGYPX2)_x000a_Card charge (FACEBK *NK734GQPX2)_x000a_Card charge (FACEBK *8E9D2HCPX2)_x000a_Card charge (FACEBK *LEHXWGCPX2)_x000a_Card charge (FACEBK *C7HUEH4QX2)_x000a_Card charge (FACEBK *TVZSVFGPX2)_x000a_Card charge (FACEBK *R7TNSFGPX2)_x000a_Card charge (FACEBK *U964AJUPX2)_x000a_Card charge (FACEBK *TPAGKG4PX2)"/>
    <x v="95"/>
    <m/>
    <m/>
    <m/>
    <m/>
    <m/>
    <n v="-25001"/>
    <m/>
    <m/>
    <m/>
  </r>
  <r>
    <x v="225"/>
    <s v="SALIDA"/>
    <x v="19"/>
    <s v="HOSTING"/>
    <s v="HOSTING TERAPIAS MAGNETICAS"/>
    <x v="33"/>
    <m/>
    <m/>
    <m/>
    <m/>
    <m/>
    <n v="-15"/>
    <m/>
    <m/>
    <m/>
  </r>
  <r>
    <x v="226"/>
    <s v="SALIDA"/>
    <x v="19"/>
    <m/>
    <s v="MANYCHAT RECARGA AUTO"/>
    <x v="81"/>
    <m/>
    <m/>
    <m/>
    <m/>
    <m/>
    <n v="-50"/>
    <m/>
    <m/>
    <m/>
  </r>
  <r>
    <x v="227"/>
    <m/>
    <x v="2"/>
    <m/>
    <s v="DESARROLLO DE PLATAFORMA API"/>
    <x v="149"/>
    <m/>
    <m/>
    <m/>
    <m/>
    <m/>
    <n v="-16"/>
    <m/>
    <m/>
    <m/>
  </r>
  <r>
    <x v="228"/>
    <m/>
    <x v="25"/>
    <m/>
    <s v="FLODESK ARZA"/>
    <x v="90"/>
    <m/>
    <m/>
    <m/>
    <m/>
    <m/>
    <n v="-38"/>
    <m/>
    <m/>
    <m/>
  </r>
  <r>
    <x v="229"/>
    <m/>
    <x v="2"/>
    <s v="VPS N8N"/>
    <s v="VPS N8N AGENCIA"/>
    <x v="33"/>
    <m/>
    <m/>
    <m/>
    <m/>
    <m/>
    <n v="-30"/>
    <m/>
    <m/>
    <m/>
  </r>
  <r>
    <x v="229"/>
    <s v="SALIDA"/>
    <x v="26"/>
    <s v="VPS N8N"/>
    <s v="VPS N8N GERSSON"/>
    <x v="33"/>
    <m/>
    <m/>
    <m/>
    <m/>
    <m/>
    <n v="-18"/>
    <m/>
    <m/>
    <m/>
  </r>
  <r>
    <x v="230"/>
    <s v="SALIDA"/>
    <x v="26"/>
    <m/>
    <s v="Card charge (FACEBK *AKJ9UKQPX2)"/>
    <x v="95"/>
    <m/>
    <m/>
    <m/>
    <m/>
    <m/>
    <n v="-250"/>
    <m/>
    <m/>
    <m/>
  </r>
  <r>
    <x v="231"/>
    <m/>
    <x v="12"/>
    <m/>
    <s v="RETIRO AUTOMATICO "/>
    <x v="152"/>
    <m/>
    <m/>
    <m/>
    <m/>
    <n v="-59754"/>
    <n v="59754"/>
    <m/>
    <m/>
    <m/>
  </r>
  <r>
    <x v="231"/>
    <m/>
    <x v="2"/>
    <m/>
    <s v="CHATGPT + BOLT"/>
    <x v="149"/>
    <m/>
    <m/>
    <m/>
    <m/>
    <m/>
    <n v="-40"/>
    <m/>
    <m/>
    <m/>
  </r>
  <r>
    <x v="231"/>
    <m/>
    <x v="2"/>
    <s v="CURSO TRACKING"/>
    <s v="CURSO TRACKEO TUTOPRESS"/>
    <x v="153"/>
    <m/>
    <m/>
    <m/>
    <m/>
    <m/>
    <n v="-379"/>
    <m/>
    <m/>
    <m/>
  </r>
  <r>
    <x v="231"/>
    <s v="SALIDA"/>
    <x v="26"/>
    <m/>
    <s v="Card charge (FACEBK *HS29CM8PX2)"/>
    <x v="95"/>
    <m/>
    <m/>
    <m/>
    <m/>
    <m/>
    <n v="-250"/>
    <m/>
    <m/>
    <m/>
  </r>
  <r>
    <x v="231"/>
    <m/>
    <x v="27"/>
    <m/>
    <s v="DOMINIO PASTELERIA"/>
    <x v="128"/>
    <m/>
    <m/>
    <m/>
    <m/>
    <m/>
    <n v="-11"/>
    <m/>
    <m/>
    <m/>
  </r>
  <r>
    <x v="232"/>
    <s v="SALIDA"/>
    <x v="26"/>
    <m/>
    <s v="Card charge (FACEBK *2BN5VLYPX2)"/>
    <x v="95"/>
    <m/>
    <m/>
    <m/>
    <m/>
    <m/>
    <n v="-250"/>
    <m/>
    <m/>
    <m/>
  </r>
  <r>
    <x v="233"/>
    <s v="SALIDA"/>
    <x v="26"/>
    <m/>
    <s v="Card charge (FACEBK *YZJWVM4QX2)"/>
    <x v="95"/>
    <m/>
    <m/>
    <m/>
    <m/>
    <m/>
    <n v="-250"/>
    <m/>
    <m/>
    <m/>
  </r>
  <r>
    <x v="234"/>
    <m/>
    <x v="2"/>
    <m/>
    <s v="ADVERONIX MARZO"/>
    <x v="148"/>
    <m/>
    <m/>
    <m/>
    <m/>
    <m/>
    <n v="-59"/>
    <m/>
    <m/>
    <m/>
  </r>
  <r>
    <x v="234"/>
    <s v="SALIDA"/>
    <x v="26"/>
    <m/>
    <s v="Card charge (FACEBK *5KR95PUPX2)"/>
    <x v="95"/>
    <m/>
    <m/>
    <m/>
    <m/>
    <m/>
    <n v="-250"/>
    <m/>
    <m/>
    <m/>
  </r>
  <r>
    <x v="235"/>
    <s v="SALIDA"/>
    <x v="26"/>
    <s v="VPS PUNTAJE"/>
    <s v="VPS BOTS + API PUNTAJE"/>
    <x v="33"/>
    <m/>
    <m/>
    <m/>
    <m/>
    <m/>
    <n v="-20.02"/>
    <m/>
    <m/>
    <m/>
  </r>
  <r>
    <x v="236"/>
    <m/>
    <x v="2"/>
    <m/>
    <s v="CREACION DE PLATAFORMAS IA"/>
    <x v="149"/>
    <m/>
    <m/>
    <m/>
    <m/>
    <m/>
    <n v="-20.63"/>
    <m/>
    <m/>
    <m/>
  </r>
  <r>
    <x v="236"/>
    <s v="SALIDA"/>
    <x v="26"/>
    <m/>
    <s v="Card charge (FACEBK *VV9JVM8PX2)"/>
    <x v="95"/>
    <m/>
    <m/>
    <m/>
    <m/>
    <m/>
    <n v="-250"/>
    <m/>
    <m/>
    <m/>
  </r>
  <r>
    <x v="237"/>
    <s v="SALIDA"/>
    <x v="26"/>
    <m/>
    <s v="Card charge (SIGNALWIRE)"/>
    <x v="154"/>
    <m/>
    <m/>
    <m/>
    <m/>
    <m/>
    <n v="-5"/>
    <m/>
    <m/>
    <m/>
  </r>
  <r>
    <x v="238"/>
    <s v="INGRESO"/>
    <x v="19"/>
    <m/>
    <s v="VENTAS MARZO"/>
    <x v="60"/>
    <m/>
    <m/>
    <m/>
    <m/>
    <n v="23267"/>
    <m/>
    <m/>
    <m/>
    <m/>
  </r>
  <r>
    <x v="238"/>
    <m/>
    <x v="22"/>
    <m/>
    <s v="UTILIDADES 16 FEB - 31 MAR"/>
    <x v="146"/>
    <m/>
    <n v="-2493"/>
    <m/>
    <m/>
    <m/>
    <m/>
    <m/>
    <m/>
    <m/>
  </r>
  <r>
    <x v="238"/>
    <m/>
    <x v="22"/>
    <m/>
    <s v="VENTAS MARZO"/>
    <x v="60"/>
    <m/>
    <n v="1814"/>
    <m/>
    <m/>
    <m/>
    <m/>
    <m/>
    <m/>
    <m/>
  </r>
  <r>
    <x v="238"/>
    <s v="SALIDA"/>
    <x v="26"/>
    <m/>
    <s v="Card charge (FACEBK *ZTUKAPUPX2)"/>
    <x v="95"/>
    <m/>
    <m/>
    <m/>
    <m/>
    <m/>
    <n v="-250"/>
    <m/>
    <m/>
    <m/>
  </r>
  <r>
    <x v="238"/>
    <s v="SALIDA"/>
    <x v="26"/>
    <m/>
    <s v="Card charge (FACEBK *65P2MMCPX2)"/>
    <x v="95"/>
    <m/>
    <m/>
    <m/>
    <m/>
    <m/>
    <n v="-62.45"/>
    <m/>
    <m/>
    <m/>
  </r>
  <r>
    <x v="239"/>
    <s v="SALIDA"/>
    <x v="26"/>
    <m/>
    <s v="Card charge (FACEBK *UQUYCPUPX2)"/>
    <x v="95"/>
    <m/>
    <m/>
    <m/>
    <m/>
    <m/>
    <n v="-250"/>
    <m/>
    <m/>
    <m/>
  </r>
  <r>
    <x v="240"/>
    <s v="SALIDA"/>
    <x v="19"/>
    <m/>
    <s v="PAGO DE COMISIONES"/>
    <x v="64"/>
    <m/>
    <m/>
    <m/>
    <m/>
    <m/>
    <n v="5662"/>
    <m/>
    <m/>
    <m/>
  </r>
  <r>
    <x v="240"/>
    <m/>
    <x v="12"/>
    <m/>
    <s v="RETIRO AUTOMATICO "/>
    <x v="152"/>
    <m/>
    <m/>
    <m/>
    <m/>
    <n v="-7914"/>
    <n v="7914"/>
    <m/>
    <m/>
    <m/>
  </r>
  <r>
    <x v="240"/>
    <s v="SALIDA"/>
    <x v="26"/>
    <m/>
    <s v="Card charge (FACEBK *W64LBN4QX2)"/>
    <x v="95"/>
    <m/>
    <m/>
    <m/>
    <m/>
    <m/>
    <n v="-250"/>
    <m/>
    <m/>
    <m/>
  </r>
  <r>
    <x v="240"/>
    <s v="SALIDA"/>
    <x v="19"/>
    <m/>
    <s v="SUELDOS MARZO"/>
    <x v="155"/>
    <m/>
    <m/>
    <m/>
    <m/>
    <m/>
    <n v="-1983"/>
    <m/>
    <m/>
    <m/>
  </r>
  <r>
    <x v="240"/>
    <s v="SALIDA"/>
    <x v="28"/>
    <m/>
    <s v="PARTE DANIEL"/>
    <x v="156"/>
    <m/>
    <m/>
    <m/>
    <m/>
    <m/>
    <n v="-7521"/>
    <m/>
    <m/>
    <m/>
  </r>
  <r>
    <x v="241"/>
    <m/>
    <x v="2"/>
    <m/>
    <s v="CONTRATOS ANDRES RENDON"/>
    <x v="157"/>
    <m/>
    <m/>
    <m/>
    <m/>
    <m/>
    <n v="-1073"/>
    <m/>
    <m/>
    <m/>
  </r>
  <r>
    <x v="241"/>
    <m/>
    <x v="2"/>
    <s v="CURSO VIRALES"/>
    <s v="COMPRA CURSOS (productos virales + bumps )"/>
    <x v="153"/>
    <m/>
    <m/>
    <m/>
    <m/>
    <m/>
    <n v="-106"/>
    <m/>
    <m/>
    <m/>
  </r>
  <r>
    <x v="241"/>
    <s v="SALIDA"/>
    <x v="26"/>
    <m/>
    <s v="Card charge (FACEBK *WPK62MQPX2)"/>
    <x v="95"/>
    <m/>
    <m/>
    <m/>
    <m/>
    <m/>
    <n v="-284"/>
    <m/>
    <m/>
    <m/>
  </r>
  <r>
    <x v="241"/>
    <s v="SALIDA"/>
    <x v="26"/>
    <m/>
    <s v="Card charge (FACEBK *G5RXCN8PX2)"/>
    <x v="95"/>
    <m/>
    <m/>
    <m/>
    <m/>
    <m/>
    <n v="-257.10000000000002"/>
    <m/>
    <m/>
    <m/>
  </r>
  <r>
    <x v="241"/>
    <s v="SALIDA"/>
    <x v="26"/>
    <m/>
    <s v="Card charge (FACEBK *5A77WLQPX2)"/>
    <x v="95"/>
    <m/>
    <m/>
    <m/>
    <m/>
    <m/>
    <n v="-250"/>
    <m/>
    <m/>
    <m/>
  </r>
  <r>
    <x v="241"/>
    <s v="SALIDA"/>
    <x v="26"/>
    <m/>
    <s v="Card charge (FACEBK *8P2T6N8PX2)"/>
    <x v="95"/>
    <m/>
    <m/>
    <m/>
    <m/>
    <m/>
    <n v="-250"/>
    <m/>
    <m/>
    <m/>
  </r>
  <r>
    <x v="241"/>
    <s v="SALIDA"/>
    <x v="26"/>
    <m/>
    <s v="Card charge (FACEBK *377JVMCPX2)"/>
    <x v="95"/>
    <m/>
    <m/>
    <m/>
    <m/>
    <m/>
    <n v="-227.15"/>
    <m/>
    <m/>
    <m/>
  </r>
  <r>
    <x v="242"/>
    <m/>
    <x v="2"/>
    <s v="CURSO TRACKING"/>
    <s v="COMPRA CURSO TRACKING API"/>
    <x v="153"/>
    <m/>
    <m/>
    <m/>
    <m/>
    <m/>
    <n v="-57"/>
    <m/>
    <m/>
    <m/>
  </r>
  <r>
    <x v="242"/>
    <s v="SALIDA"/>
    <x v="26"/>
    <m/>
    <s v="PRESTAMO A GERSSON DE THRIVE"/>
    <x v="158"/>
    <m/>
    <m/>
    <m/>
    <m/>
    <m/>
    <n v="-300"/>
    <m/>
    <m/>
    <m/>
  </r>
  <r>
    <x v="243"/>
    <s v="SALIDA"/>
    <x v="19"/>
    <m/>
    <s v="PAGO COMISIONES"/>
    <x v="63"/>
    <m/>
    <m/>
    <m/>
    <m/>
    <m/>
    <n v="-2953"/>
    <m/>
    <m/>
    <n v="455"/>
  </r>
  <r>
    <x v="243"/>
    <s v="SALIDA"/>
    <x v="19"/>
    <m/>
    <s v="PAGO COMISIONES L6"/>
    <x v="159"/>
    <m/>
    <m/>
    <m/>
    <m/>
    <m/>
    <m/>
    <m/>
    <m/>
    <n v="-5389"/>
  </r>
  <r>
    <x v="244"/>
    <s v="SALIDA"/>
    <x v="26"/>
    <m/>
    <s v="Card charge (FLODESK.COM)"/>
    <x v="90"/>
    <m/>
    <m/>
    <m/>
    <m/>
    <m/>
    <n v="-38"/>
    <m/>
    <m/>
    <m/>
  </r>
  <r>
    <x v="244"/>
    <m/>
    <x v="2"/>
    <s v="HOSTING"/>
    <s v="HOSTING WEB AGENCIA"/>
    <x v="33"/>
    <m/>
    <m/>
    <m/>
    <m/>
    <m/>
    <n v="-13.54"/>
    <m/>
    <m/>
    <m/>
  </r>
  <r>
    <x v="244"/>
    <m/>
    <x v="29"/>
    <s v="HOSTING"/>
    <s v="DOMINIO GIORGIO"/>
    <x v="33"/>
    <m/>
    <m/>
    <m/>
    <m/>
    <m/>
    <n v="-9.4600000000000009"/>
    <m/>
    <m/>
    <m/>
  </r>
  <r>
    <x v="244"/>
    <m/>
    <x v="30"/>
    <s v="HOSTING"/>
    <s v="DOMINIO VCAPITAL"/>
    <x v="33"/>
    <m/>
    <m/>
    <m/>
    <m/>
    <m/>
    <n v="-9.4600000000000009"/>
    <m/>
    <m/>
    <m/>
  </r>
  <r>
    <x v="245"/>
    <s v="SALIDA"/>
    <x v="26"/>
    <m/>
    <s v="Card charge (FLODESK.COM)"/>
    <x v="90"/>
    <m/>
    <m/>
    <m/>
    <m/>
    <m/>
    <n v="-38"/>
    <m/>
    <m/>
    <m/>
  </r>
  <r>
    <x v="245"/>
    <s v="SALIDA"/>
    <x v="26"/>
    <s v="DOMINIO"/>
    <s v="DOMINIO NUEVO CORREOS GERSSON"/>
    <x v="33"/>
    <m/>
    <m/>
    <m/>
    <m/>
    <m/>
    <n v="-15.98"/>
    <m/>
    <m/>
    <m/>
  </r>
  <r>
    <x v="245"/>
    <s v="SALIDA"/>
    <x v="26"/>
    <m/>
    <s v="Card charge (MANYCHAT.COM)"/>
    <x v="81"/>
    <m/>
    <m/>
    <m/>
    <m/>
    <m/>
    <n v="-15"/>
    <m/>
    <m/>
    <m/>
  </r>
  <r>
    <x v="246"/>
    <s v="INGRESO"/>
    <x v="19"/>
    <m/>
    <s v="VENTAS L6"/>
    <x v="19"/>
    <m/>
    <n v="9425"/>
    <m/>
    <m/>
    <m/>
    <m/>
    <m/>
    <m/>
    <m/>
  </r>
  <r>
    <x v="246"/>
    <s v="SALIDA CONTABLE"/>
    <x v="19"/>
    <m/>
    <s v="TRASLADO DE UTILIDADES"/>
    <x v="160"/>
    <n v="-58019"/>
    <n v="0"/>
    <n v="0"/>
    <n v="0"/>
    <n v="0"/>
    <n v="0"/>
    <n v="0"/>
    <n v="0"/>
    <n v="0"/>
  </r>
  <r>
    <x v="246"/>
    <s v="SALIDA"/>
    <x v="26"/>
    <m/>
    <s v="Card charge (FACEBK *HS598N4PX2)"/>
    <x v="95"/>
    <m/>
    <m/>
    <m/>
    <m/>
    <m/>
    <n v="-375"/>
    <m/>
    <m/>
    <m/>
  </r>
  <r>
    <x v="246"/>
    <s v="INGRESO CONTABLE"/>
    <x v="28"/>
    <m/>
    <s v="TRASLADO DE UTILIDADES"/>
    <x v="156"/>
    <n v="58019"/>
    <n v="0"/>
    <n v="0"/>
    <n v="0"/>
    <n v="0"/>
    <n v="0"/>
    <n v="0"/>
    <n v="0"/>
    <n v="0"/>
  </r>
  <r>
    <x v="246"/>
    <s v="SALIDA"/>
    <x v="28"/>
    <m/>
    <s v="PAGO A JUANCA"/>
    <x v="156"/>
    <m/>
    <n v="-9425"/>
    <m/>
    <m/>
    <m/>
    <n v="-5792"/>
    <m/>
    <m/>
    <m/>
  </r>
  <r>
    <x v="246"/>
    <s v="SALIDA"/>
    <x v="28"/>
    <m/>
    <s v="PAGO A SANTIAGO"/>
    <x v="156"/>
    <m/>
    <m/>
    <m/>
    <m/>
    <m/>
    <n v="-15271"/>
    <m/>
    <m/>
    <m/>
  </r>
  <r>
    <x v="246"/>
    <s v="SALIDA"/>
    <x v="28"/>
    <m/>
    <s v="PAGO A FRAN"/>
    <x v="156"/>
    <m/>
    <m/>
    <m/>
    <m/>
    <m/>
    <n v="-14951"/>
    <m/>
    <m/>
    <m/>
  </r>
  <r>
    <x v="247"/>
    <m/>
    <x v="2"/>
    <s v="VPS N8N"/>
    <s v="VPS N8N AGENCIA"/>
    <x v="33"/>
    <m/>
    <m/>
    <m/>
    <m/>
    <m/>
    <n v="-37.79"/>
    <m/>
    <m/>
    <m/>
  </r>
  <r>
    <x v="248"/>
    <s v="SALIDA"/>
    <x v="26"/>
    <m/>
    <s v="Card charge (FACEBK *6PTC7MQPX2)"/>
    <x v="95"/>
    <m/>
    <m/>
    <m/>
    <m/>
    <m/>
    <n v="-563"/>
    <m/>
    <m/>
    <m/>
  </r>
  <r>
    <x v="249"/>
    <m/>
    <x v="2"/>
    <m/>
    <s v="PAGO PARA PLATAFORMA DAILYS"/>
    <x v="149"/>
    <m/>
    <m/>
    <m/>
    <m/>
    <m/>
    <n v="-12.96"/>
    <m/>
    <m/>
    <m/>
  </r>
  <r>
    <x v="249"/>
    <s v="SALIDA"/>
    <x v="26"/>
    <m/>
    <s v="Card charge (FACEBK *N7HN4NYPX2)"/>
    <x v="95"/>
    <m/>
    <m/>
    <m/>
    <m/>
    <m/>
    <n v="-845"/>
    <m/>
    <m/>
    <m/>
  </r>
  <r>
    <x v="249"/>
    <m/>
    <x v="31"/>
    <m/>
    <s v="de 29 abr - 12 abr | ultimo: 23,21"/>
    <x v="95"/>
    <m/>
    <m/>
    <m/>
    <m/>
    <m/>
    <n v="-333"/>
    <m/>
    <m/>
    <m/>
  </r>
  <r>
    <x v="249"/>
    <m/>
    <x v="20"/>
    <m/>
    <s v="Card charge (FACEBK *5GQS4NU9Y2)"/>
    <x v="95"/>
    <m/>
    <m/>
    <m/>
    <m/>
    <m/>
    <n v="-203.73"/>
    <m/>
    <m/>
    <m/>
  </r>
  <r>
    <x v="250"/>
    <m/>
    <x v="2"/>
    <m/>
    <s v="ADVERONIX MAYO"/>
    <x v="148"/>
    <m/>
    <m/>
    <m/>
    <m/>
    <m/>
    <n v="-59"/>
    <m/>
    <m/>
    <m/>
  </r>
  <r>
    <x v="250"/>
    <s v="SALIDA"/>
    <x v="26"/>
    <s v="VPS N8N"/>
    <s v="VPS N8N GERSSON"/>
    <x v="33"/>
    <m/>
    <m/>
    <m/>
    <m/>
    <m/>
    <n v="-16.62"/>
    <m/>
    <m/>
    <m/>
  </r>
  <r>
    <x v="251"/>
    <s v="SALIDA"/>
    <x v="26"/>
    <m/>
    <s v="Card charge (FACEBK *4AHG9NYPX2)"/>
    <x v="95"/>
    <m/>
    <m/>
    <m/>
    <m/>
    <m/>
    <n v="-900"/>
    <m/>
    <m/>
    <m/>
  </r>
  <r>
    <x v="251"/>
    <s v="SALIDA"/>
    <x v="26"/>
    <s v="HOSTING"/>
    <s v="VPS HOSTING GERSSON"/>
    <x v="33"/>
    <m/>
    <m/>
    <m/>
    <m/>
    <m/>
    <n v="-13.82"/>
    <m/>
    <m/>
    <m/>
  </r>
  <r>
    <x v="251"/>
    <m/>
    <x v="20"/>
    <m/>
    <s v="Card charge (FACEBK *LFNM5NCAY2)"/>
    <x v="95"/>
    <m/>
    <m/>
    <m/>
    <m/>
    <m/>
    <n v="-368"/>
    <m/>
    <m/>
    <m/>
  </r>
  <r>
    <x v="252"/>
    <m/>
    <x v="32"/>
    <m/>
    <s v="Card charge (FACEBK *ZUZ6ZLUK52)"/>
    <x v="95"/>
    <m/>
    <m/>
    <m/>
    <m/>
    <m/>
    <n v="-900.39"/>
    <m/>
    <m/>
    <m/>
  </r>
  <r>
    <x v="252"/>
    <m/>
    <x v="20"/>
    <m/>
    <s v="Card charge (FACEBK *DE579NCAY2)"/>
    <x v="95"/>
    <m/>
    <m/>
    <m/>
    <m/>
    <m/>
    <n v="-199.85"/>
    <m/>
    <m/>
    <m/>
  </r>
  <r>
    <x v="253"/>
    <m/>
    <x v="2"/>
    <m/>
    <s v="Card charge (CURSOR, AI POWERED IDE)"/>
    <x v="161"/>
    <m/>
    <m/>
    <m/>
    <m/>
    <m/>
    <n v="-20"/>
    <m/>
    <m/>
    <m/>
  </r>
  <r>
    <x v="254"/>
    <s v="SALIDA"/>
    <x v="26"/>
    <m/>
    <s v="Card charge (FACEBK *B44NRMGPX2)"/>
    <x v="95"/>
    <m/>
    <m/>
    <m/>
    <m/>
    <m/>
    <n v="-900"/>
    <m/>
    <m/>
    <m/>
  </r>
  <r>
    <x v="254"/>
    <s v="SALIDA"/>
    <x v="26"/>
    <m/>
    <s v="Card charge (OPENAI *CHATGPT SUBSCR)"/>
    <x v="35"/>
    <m/>
    <m/>
    <m/>
    <m/>
    <m/>
    <n v="-20"/>
    <m/>
    <m/>
    <m/>
  </r>
  <r>
    <x v="255"/>
    <s v="SALIDA"/>
    <x v="26"/>
    <m/>
    <s v="Card charge (FACEBK *NP6XWMGPX2)"/>
    <x v="95"/>
    <m/>
    <m/>
    <m/>
    <m/>
    <m/>
    <n v="-900"/>
    <m/>
    <m/>
    <m/>
  </r>
  <r>
    <x v="255"/>
    <m/>
    <x v="20"/>
    <m/>
    <s v="Card charge (FACEBK *33G5RN4AY2)"/>
    <x v="95"/>
    <m/>
    <m/>
    <m/>
    <m/>
    <m/>
    <n v="-644.5"/>
    <m/>
    <m/>
    <m/>
  </r>
  <r>
    <x v="255"/>
    <m/>
    <x v="20"/>
    <m/>
    <s v="Card charge (FACEBK *BC99CPGAY2)"/>
    <x v="95"/>
    <m/>
    <m/>
    <m/>
    <m/>
    <m/>
    <n v="-74.38"/>
    <m/>
    <m/>
    <m/>
  </r>
  <r>
    <x v="256"/>
    <s v="SALIDA"/>
    <x v="26"/>
    <m/>
    <s v="Card charge (OPENAI)"/>
    <x v="35"/>
    <m/>
    <m/>
    <m/>
    <m/>
    <m/>
    <n v="-10"/>
    <m/>
    <m/>
    <m/>
  </r>
  <r>
    <x v="256"/>
    <s v="SALIDA"/>
    <x v="26"/>
    <m/>
    <s v="Card charge (OPENAI)"/>
    <x v="35"/>
    <m/>
    <m/>
    <m/>
    <m/>
    <m/>
    <n v="-5.01"/>
    <m/>
    <m/>
    <m/>
  </r>
  <r>
    <x v="256"/>
    <m/>
    <x v="2"/>
    <m/>
    <s v="PAGO DEUDA CURVES MEDICAL"/>
    <x v="162"/>
    <m/>
    <m/>
    <m/>
    <m/>
    <m/>
    <n v="-1492"/>
    <m/>
    <m/>
    <m/>
  </r>
  <r>
    <x v="256"/>
    <m/>
    <x v="20"/>
    <m/>
    <s v="Card charge (FACEBK *STE7FPGAY2)"/>
    <x v="95"/>
    <m/>
    <m/>
    <m/>
    <m/>
    <m/>
    <n v="-145.62"/>
    <m/>
    <m/>
    <m/>
  </r>
  <r>
    <x v="256"/>
    <m/>
    <x v="20"/>
    <m/>
    <s v="Card charge (FACEBK *NMQ5LNU9Y2)"/>
    <x v="95"/>
    <m/>
    <m/>
    <m/>
    <m/>
    <m/>
    <n v="-62.09"/>
    <m/>
    <m/>
    <m/>
  </r>
  <r>
    <x v="257"/>
    <m/>
    <x v="2"/>
    <s v="MENTORIA DYNAMIS"/>
    <s v="PAGO MENTORIA DYNAMIS"/>
    <x v="153"/>
    <m/>
    <m/>
    <m/>
    <m/>
    <m/>
    <n v="-5420"/>
    <m/>
    <m/>
    <m/>
  </r>
  <r>
    <x v="258"/>
    <m/>
    <x v="32"/>
    <m/>
    <s v="Card charge (FACEBK *X4EL7NCK52)"/>
    <x v="95"/>
    <m/>
    <m/>
    <m/>
    <m/>
    <m/>
    <n v="-591.05999999999995"/>
    <m/>
    <m/>
    <m/>
  </r>
  <r>
    <x v="258"/>
    <m/>
    <x v="30"/>
    <m/>
    <s v="Card charge (FLODESK.COM)"/>
    <x v="90"/>
    <m/>
    <m/>
    <m/>
    <m/>
    <m/>
    <n v="-38"/>
    <m/>
    <m/>
    <m/>
  </r>
  <r>
    <x v="258"/>
    <m/>
    <x v="2"/>
    <m/>
    <s v="GREATPAGES AGENCIA"/>
    <x v="143"/>
    <m/>
    <m/>
    <m/>
    <m/>
    <m/>
    <n v="-48.7"/>
    <m/>
    <m/>
    <m/>
  </r>
  <r>
    <x v="259"/>
    <s v="SALIDA"/>
    <x v="26"/>
    <m/>
    <s v="Card charge (FACEBK *XZYZLP4QX2)"/>
    <x v="95"/>
    <m/>
    <m/>
    <m/>
    <m/>
    <m/>
    <n v="-900"/>
    <m/>
    <m/>
    <m/>
  </r>
  <r>
    <x v="259"/>
    <m/>
    <x v="32"/>
    <m/>
    <s v="Card charge (FACEBK *BQ4RRL8K52)"/>
    <x v="95"/>
    <m/>
    <m/>
    <m/>
    <m/>
    <m/>
    <n v="-283.01"/>
    <m/>
    <m/>
    <m/>
  </r>
  <r>
    <x v="259"/>
    <m/>
    <x v="31"/>
    <m/>
    <s v="Card charge (FACEBK *TEMP HOLD IIKY)"/>
    <x v="95"/>
    <m/>
    <m/>
    <m/>
    <m/>
    <m/>
    <n v="-43"/>
    <m/>
    <m/>
    <m/>
  </r>
  <r>
    <x v="259"/>
    <s v="SALIDA"/>
    <x v="26"/>
    <m/>
    <s v="Card charge (STREAMYARD.COM)"/>
    <x v="39"/>
    <m/>
    <m/>
    <m/>
    <m/>
    <m/>
    <n v="-44.99"/>
    <m/>
    <m/>
    <m/>
  </r>
  <r>
    <x v="260"/>
    <m/>
    <x v="32"/>
    <m/>
    <s v="Card charge (FACEBK *5W4GCMLK52)"/>
    <x v="95"/>
    <m/>
    <m/>
    <m/>
    <m/>
    <m/>
    <n v="-514.80999999999995"/>
    <m/>
    <m/>
    <m/>
  </r>
  <r>
    <x v="260"/>
    <m/>
    <x v="31"/>
    <m/>
    <s v="Card charge (FACEBK *TEMP HOLD C76R)"/>
    <x v="95"/>
    <m/>
    <m/>
    <m/>
    <m/>
    <m/>
    <n v="-48"/>
    <m/>
    <m/>
    <m/>
  </r>
  <r>
    <x v="261"/>
    <s v="SALIDA"/>
    <x v="26"/>
    <m/>
    <s v="Card charge (FACEBK *XZ69LP8PX2)"/>
    <x v="95"/>
    <m/>
    <m/>
    <m/>
    <m/>
    <m/>
    <n v="-900"/>
    <m/>
    <m/>
    <m/>
  </r>
  <r>
    <x v="261"/>
    <m/>
    <x v="31"/>
    <m/>
    <s v="Card charge (FACEBK *A6A9XP4RN2)"/>
    <x v="95"/>
    <m/>
    <m/>
    <m/>
    <m/>
    <m/>
    <n v="-27.47"/>
    <m/>
    <m/>
    <m/>
  </r>
  <r>
    <x v="262"/>
    <m/>
    <x v="31"/>
    <m/>
    <s v="Card charge (FACEBK *VHM98PURN2)"/>
    <x v="95"/>
    <m/>
    <m/>
    <m/>
    <m/>
    <m/>
    <n v="-36.04"/>
    <m/>
    <m/>
    <m/>
  </r>
  <r>
    <x v="262"/>
    <m/>
    <x v="31"/>
    <m/>
    <s v="Card charge (FACEBK *M9BWSPCRN2)"/>
    <x v="95"/>
    <m/>
    <m/>
    <m/>
    <m/>
    <m/>
    <n v="-6.31"/>
    <m/>
    <m/>
    <m/>
  </r>
  <r>
    <x v="262"/>
    <m/>
    <x v="31"/>
    <m/>
    <s v="Card charge (FACEBK *BWWTWP4RN2)"/>
    <x v="95"/>
    <m/>
    <m/>
    <m/>
    <m/>
    <m/>
    <n v="-1.46"/>
    <m/>
    <m/>
    <m/>
  </r>
  <r>
    <x v="262"/>
    <s v="SALIDA"/>
    <x v="26"/>
    <s v="VPS PUNTAJE"/>
    <s v="VPS BOTS + API PUNTAJE"/>
    <x v="33"/>
    <m/>
    <m/>
    <m/>
    <m/>
    <m/>
    <n v="-19.34"/>
    <m/>
    <m/>
    <m/>
  </r>
  <r>
    <x v="263"/>
    <s v="INGRESO"/>
    <x v="19"/>
    <m/>
    <s v="VENTAS ABRIL"/>
    <x v="60"/>
    <m/>
    <m/>
    <m/>
    <m/>
    <n v="1643"/>
    <m/>
    <m/>
    <m/>
    <m/>
  </r>
  <r>
    <x v="263"/>
    <s v="INGRESO"/>
    <x v="19"/>
    <m/>
    <s v="VENTAS ABRIL"/>
    <x v="60"/>
    <m/>
    <m/>
    <m/>
    <m/>
    <n v="842"/>
    <m/>
    <m/>
    <m/>
    <m/>
  </r>
  <r>
    <x v="263"/>
    <m/>
    <x v="22"/>
    <m/>
    <s v="VENTAS ABRIL"/>
    <x v="60"/>
    <m/>
    <n v="1888"/>
    <m/>
    <m/>
    <m/>
    <m/>
    <m/>
    <m/>
    <m/>
  </r>
  <r>
    <x v="263"/>
    <m/>
    <x v="33"/>
    <m/>
    <s v="Payment from Hotmart"/>
    <x v="152"/>
    <m/>
    <m/>
    <m/>
    <m/>
    <n v="-2740"/>
    <n v="2740.64"/>
    <m/>
    <m/>
    <m/>
  </r>
  <r>
    <x v="263"/>
    <s v="SALIDA"/>
    <x v="26"/>
    <m/>
    <s v="Card charge (FACEBK *XJW8HPCPX2)"/>
    <x v="95"/>
    <m/>
    <m/>
    <m/>
    <m/>
    <m/>
    <n v="-292.16000000000003"/>
    <m/>
    <m/>
    <m/>
  </r>
  <r>
    <x v="263"/>
    <m/>
    <x v="31"/>
    <m/>
    <s v="Card charge (FACEBK *9SEZNRQRN2)"/>
    <x v="95"/>
    <m/>
    <m/>
    <m/>
    <m/>
    <m/>
    <n v="-4.13"/>
    <m/>
    <m/>
    <m/>
  </r>
  <r>
    <x v="263"/>
    <s v="SALIDA"/>
    <x v="26"/>
    <m/>
    <s v="Card charge (STAPE, INC.)"/>
    <x v="75"/>
    <m/>
    <m/>
    <m/>
    <m/>
    <m/>
    <n v="-50"/>
    <m/>
    <m/>
    <m/>
  </r>
  <r>
    <x v="263"/>
    <m/>
    <x v="20"/>
    <m/>
    <s v="VENTAS"/>
    <x v="60"/>
    <m/>
    <m/>
    <m/>
    <m/>
    <n v="1675"/>
    <m/>
    <m/>
    <m/>
    <m/>
  </r>
  <r>
    <x v="264"/>
    <m/>
    <x v="31"/>
    <m/>
    <s v="Card charge (FACEBK *TEMP HOLD FWUC)"/>
    <x v="95"/>
    <m/>
    <m/>
    <m/>
    <m/>
    <m/>
    <n v="-53"/>
    <m/>
    <m/>
    <m/>
  </r>
  <r>
    <x v="265"/>
    <m/>
    <x v="29"/>
    <m/>
    <s v="Card charge (FLODESK.COM)"/>
    <x v="90"/>
    <m/>
    <m/>
    <m/>
    <m/>
    <m/>
    <n v="-38"/>
    <m/>
    <m/>
    <m/>
  </r>
  <r>
    <x v="266"/>
    <m/>
    <x v="31"/>
    <m/>
    <s v="Card charge (FACEBK *TEMP HOLD YSEX)"/>
    <x v="95"/>
    <m/>
    <m/>
    <m/>
    <m/>
    <m/>
    <n v="-59"/>
    <m/>
    <m/>
    <m/>
  </r>
  <r>
    <x v="267"/>
    <s v="SALIDA"/>
    <x v="26"/>
    <m/>
    <s v="Card charge (FACEBK *4UWYQPLPX2)"/>
    <x v="95"/>
    <m/>
    <m/>
    <m/>
    <m/>
    <m/>
    <n v="-900"/>
    <m/>
    <m/>
    <m/>
  </r>
  <r>
    <x v="267"/>
    <s v="SALIDA"/>
    <x v="26"/>
    <m/>
    <s v="Card charge (FACEBK *7H5EMNQPX2)"/>
    <x v="95"/>
    <m/>
    <m/>
    <m/>
    <m/>
    <m/>
    <n v="-900"/>
    <m/>
    <m/>
    <m/>
  </r>
  <r>
    <x v="267"/>
    <m/>
    <x v="2"/>
    <s v="SERVIDOR CUENTAS"/>
    <s v="VPS PLATAFORMA CUENTAS"/>
    <x v="33"/>
    <m/>
    <m/>
    <m/>
    <m/>
    <m/>
    <n v="-6.34"/>
    <m/>
    <m/>
    <m/>
  </r>
  <r>
    <x v="267"/>
    <s v="SALIDA"/>
    <x v="26"/>
    <m/>
    <s v="Card charge (MANYCHAT.COM)"/>
    <x v="81"/>
    <m/>
    <m/>
    <m/>
    <m/>
    <m/>
    <n v="-50"/>
    <m/>
    <m/>
    <m/>
  </r>
  <r>
    <x v="268"/>
    <s v="SALIDA"/>
    <x v="26"/>
    <m/>
    <s v="Card charge (FACEBK *YAJ5VP4PX2)"/>
    <x v="95"/>
    <m/>
    <m/>
    <m/>
    <m/>
    <m/>
    <n v="-900"/>
    <m/>
    <m/>
    <m/>
  </r>
  <r>
    <x v="268"/>
    <s v="SALIDA"/>
    <x v="26"/>
    <m/>
    <s v="Card charge (MANYCHAT.COM)"/>
    <x v="81"/>
    <m/>
    <m/>
    <m/>
    <m/>
    <m/>
    <n v="-50"/>
    <m/>
    <m/>
    <m/>
  </r>
  <r>
    <x v="269"/>
    <s v="SALIDA"/>
    <x v="26"/>
    <m/>
    <s v="Card charge (FACEBK *7PRNPRUPX2)"/>
    <x v="95"/>
    <m/>
    <m/>
    <m/>
    <m/>
    <m/>
    <n v="-900"/>
    <m/>
    <m/>
    <m/>
  </r>
  <r>
    <x v="269"/>
    <s v="SALIDA"/>
    <x v="26"/>
    <m/>
    <s v="Card charge (FACEBK *NWTWTNQPX2)"/>
    <x v="95"/>
    <m/>
    <m/>
    <m/>
    <m/>
    <m/>
    <n v="-900"/>
    <m/>
    <m/>
    <m/>
  </r>
  <r>
    <x v="269"/>
    <s v="SALIDA"/>
    <x v="26"/>
    <m/>
    <s v="Card charge (FACEBK *QEUZTPLPX2)"/>
    <x v="95"/>
    <m/>
    <m/>
    <m/>
    <m/>
    <m/>
    <n v="-900"/>
    <m/>
    <m/>
    <m/>
  </r>
  <r>
    <x v="269"/>
    <m/>
    <x v="34"/>
    <m/>
    <s v="Card charge (FLODESK.COM)"/>
    <x v="90"/>
    <m/>
    <m/>
    <m/>
    <m/>
    <m/>
    <n v="-38"/>
    <m/>
    <m/>
    <m/>
  </r>
  <r>
    <x v="269"/>
    <s v="SALIDA"/>
    <x v="26"/>
    <s v="HOSTING"/>
    <s v="VPS HOSTING GERSSON"/>
    <x v="33"/>
    <m/>
    <m/>
    <m/>
    <m/>
    <m/>
    <n v="-13.38"/>
    <m/>
    <m/>
    <m/>
  </r>
  <r>
    <x v="269"/>
    <s v="INGRESO"/>
    <x v="26"/>
    <m/>
    <s v="PAGO DE PRESTAMO THRIVE"/>
    <x v="163"/>
    <m/>
    <m/>
    <m/>
    <m/>
    <m/>
    <n v="300"/>
    <m/>
    <m/>
    <m/>
  </r>
  <r>
    <x v="270"/>
    <s v="SALIDA"/>
    <x v="26"/>
    <m/>
    <s v="Card charge (FACEBK *89PUYNQPX2)"/>
    <x v="95"/>
    <m/>
    <m/>
    <m/>
    <m/>
    <m/>
    <n v="-900"/>
    <m/>
    <m/>
    <m/>
  </r>
  <r>
    <x v="270"/>
    <m/>
    <x v="31"/>
    <m/>
    <s v="Card charge (FACEBK *JMTRZQUQN2)"/>
    <x v="95"/>
    <m/>
    <m/>
    <m/>
    <m/>
    <m/>
    <n v="-58.59"/>
    <m/>
    <m/>
    <m/>
  </r>
  <r>
    <x v="270"/>
    <s v="SALIDA"/>
    <x v="26"/>
    <m/>
    <s v="Card charge (FLODESK.COM)"/>
    <x v="90"/>
    <m/>
    <m/>
    <m/>
    <m/>
    <m/>
    <n v="-38"/>
    <m/>
    <m/>
    <m/>
  </r>
  <r>
    <x v="270"/>
    <s v="SALIDA"/>
    <x v="26"/>
    <m/>
    <s v="Card charge (MANYCHAT.COM)"/>
    <x v="81"/>
    <m/>
    <m/>
    <m/>
    <m/>
    <m/>
    <n v="-149.66"/>
    <m/>
    <m/>
    <m/>
  </r>
  <r>
    <x v="270"/>
    <s v="SALIDA"/>
    <x v="26"/>
    <m/>
    <s v="Card charge (MANYCHAT.COM)"/>
    <x v="81"/>
    <m/>
    <m/>
    <m/>
    <m/>
    <m/>
    <n v="-50"/>
    <m/>
    <m/>
    <m/>
  </r>
  <r>
    <x v="271"/>
    <s v="SALIDA"/>
    <x v="26"/>
    <m/>
    <s v="Card charge (FACEBK *YJAP8Q4PX2)"/>
    <x v="95"/>
    <m/>
    <m/>
    <m/>
    <m/>
    <m/>
    <n v="-900"/>
    <m/>
    <m/>
    <m/>
  </r>
  <r>
    <x v="271"/>
    <m/>
    <x v="2"/>
    <s v="HOSTING"/>
    <s v="HOSTING WEB AGENCIA"/>
    <x v="33"/>
    <m/>
    <m/>
    <m/>
    <m/>
    <m/>
    <n v="-13.92"/>
    <m/>
    <m/>
    <m/>
  </r>
  <r>
    <x v="271"/>
    <m/>
    <x v="2"/>
    <m/>
    <s v="NOMINA MAYO"/>
    <x v="141"/>
    <m/>
    <m/>
    <m/>
    <m/>
    <m/>
    <n v="-2378.6999999999998"/>
    <m/>
    <m/>
    <m/>
  </r>
  <r>
    <x v="272"/>
    <s v="SALIDA"/>
    <x v="26"/>
    <m/>
    <s v="Card charge (FACEBK *JK9Q3QCPX2)"/>
    <x v="95"/>
    <m/>
    <m/>
    <m/>
    <m/>
    <m/>
    <n v="-900"/>
    <m/>
    <m/>
    <m/>
  </r>
  <r>
    <x v="272"/>
    <m/>
    <x v="31"/>
    <m/>
    <s v="Card charge (FACEBK *6NJ2VQYQN2)"/>
    <x v="95"/>
    <m/>
    <m/>
    <m/>
    <m/>
    <m/>
    <n v="-36.18"/>
    <m/>
    <m/>
    <m/>
  </r>
  <r>
    <x v="272"/>
    <m/>
    <x v="2"/>
    <s v="VPS N8N"/>
    <s v="VPS N8N AGENCIA"/>
    <x v="33"/>
    <m/>
    <m/>
    <m/>
    <m/>
    <m/>
    <n v="-57.9"/>
    <m/>
    <m/>
    <m/>
  </r>
  <r>
    <x v="273"/>
    <s v="SALIDA"/>
    <x v="26"/>
    <m/>
    <s v="Card charge (FACEBK *MTESCQ4PX2)"/>
    <x v="95"/>
    <m/>
    <m/>
    <m/>
    <m/>
    <m/>
    <n v="-900"/>
    <m/>
    <m/>
    <m/>
  </r>
  <r>
    <x v="273"/>
    <m/>
    <x v="31"/>
    <m/>
    <s v="Card charge (FACEBK *2AHBSR8RN2)"/>
    <x v="95"/>
    <m/>
    <m/>
    <m/>
    <m/>
    <m/>
    <n v="-9.11"/>
    <m/>
    <m/>
    <m/>
  </r>
  <r>
    <x v="273"/>
    <s v="SALIDA"/>
    <x v="26"/>
    <m/>
    <s v="Card charge (MANYCHAT.COM)"/>
    <x v="81"/>
    <m/>
    <m/>
    <m/>
    <m/>
    <m/>
    <n v="-50"/>
    <m/>
    <m/>
    <m/>
  </r>
  <r>
    <x v="273"/>
    <m/>
    <x v="2"/>
    <m/>
    <s v="Card charge (ASA*FLRN COMPANY LTDA)"/>
    <x v="164"/>
    <m/>
    <m/>
    <m/>
    <m/>
    <m/>
    <n v="-23.23"/>
    <m/>
    <m/>
    <m/>
  </r>
  <r>
    <x v="273"/>
    <m/>
    <x v="20"/>
    <m/>
    <s v="Card charge (FACEBK *25HLSPCAY2)"/>
    <x v="95"/>
    <m/>
    <m/>
    <m/>
    <m/>
    <m/>
    <n v="-249.22"/>
    <m/>
    <m/>
    <m/>
  </r>
  <r>
    <x v="274"/>
    <s v="SALIDA"/>
    <x v="26"/>
    <m/>
    <s v="Card charge (FACEBK *63S8DQ4AY2)"/>
    <x v="95"/>
    <m/>
    <m/>
    <m/>
    <m/>
    <m/>
    <n v="-1200"/>
    <m/>
    <m/>
    <m/>
  </r>
  <r>
    <x v="274"/>
    <s v="SALIDA"/>
    <x v="26"/>
    <m/>
    <s v="Card charge (FACEBK *YVJ3SQ4QX2)"/>
    <x v="95"/>
    <m/>
    <m/>
    <m/>
    <m/>
    <m/>
    <n v="-900"/>
    <m/>
    <m/>
    <m/>
  </r>
  <r>
    <x v="274"/>
    <s v="SALIDA"/>
    <x v="26"/>
    <m/>
    <s v="Card charge (MANYCHAT.COM)"/>
    <x v="81"/>
    <m/>
    <m/>
    <m/>
    <m/>
    <m/>
    <n v="-50"/>
    <m/>
    <m/>
    <m/>
  </r>
  <r>
    <x v="275"/>
    <s v="SALIDA"/>
    <x v="26"/>
    <m/>
    <s v="Card charge (FACEBK *TPE37QU9Y2)"/>
    <x v="95"/>
    <m/>
    <m/>
    <m/>
    <m/>
    <m/>
    <n v="-1300"/>
    <m/>
    <m/>
    <m/>
  </r>
  <r>
    <x v="275"/>
    <s v="SALIDA"/>
    <x v="26"/>
    <m/>
    <s v="Card charge (FACEBK *BFXPTQ8PX2)"/>
    <x v="95"/>
    <m/>
    <m/>
    <m/>
    <m/>
    <m/>
    <n v="-900"/>
    <m/>
    <m/>
    <m/>
  </r>
  <r>
    <x v="275"/>
    <s v="SALIDA"/>
    <x v="26"/>
    <m/>
    <s v="Card charge (FACEBK *E5UAAPQPX2)"/>
    <x v="95"/>
    <m/>
    <m/>
    <m/>
    <m/>
    <m/>
    <n v="-900"/>
    <m/>
    <m/>
    <m/>
  </r>
  <r>
    <x v="275"/>
    <m/>
    <x v="30"/>
    <s v="DOMINIO"/>
    <s v="DOMINIO BUSINESS VCAPITAL"/>
    <x v="33"/>
    <m/>
    <m/>
    <m/>
    <m/>
    <m/>
    <n v="-9.2200000000000006"/>
    <m/>
    <m/>
    <m/>
  </r>
  <r>
    <x v="276"/>
    <m/>
    <x v="2"/>
    <m/>
    <s v="Card charge (ADVERONIX LLC)"/>
    <x v="148"/>
    <m/>
    <m/>
    <m/>
    <m/>
    <m/>
    <n v="-59"/>
    <m/>
    <m/>
    <m/>
  </r>
  <r>
    <x v="276"/>
    <m/>
    <x v="2"/>
    <s v="VPS N8N"/>
    <s v="VPS N8N GERSSON"/>
    <x v="33"/>
    <m/>
    <m/>
    <m/>
    <m/>
    <m/>
    <n v="-17.07"/>
    <m/>
    <m/>
    <m/>
  </r>
  <r>
    <x v="276"/>
    <s v="SALIDA"/>
    <x v="26"/>
    <m/>
    <s v="Card charge (MANYCHAT.COM)"/>
    <x v="81"/>
    <m/>
    <m/>
    <m/>
    <m/>
    <m/>
    <n v="-50"/>
    <m/>
    <m/>
    <m/>
  </r>
  <r>
    <x v="276"/>
    <s v="SALIDA"/>
    <x v="26"/>
    <m/>
    <s v="Card charge (MANYCHAT.COM)"/>
    <x v="81"/>
    <m/>
    <m/>
    <m/>
    <m/>
    <m/>
    <n v="-0.66"/>
    <m/>
    <m/>
    <m/>
  </r>
  <r>
    <x v="277"/>
    <m/>
    <x v="31"/>
    <m/>
    <s v="Card charge (FACEBK *GUDV3S8RN2)"/>
    <x v="95"/>
    <m/>
    <m/>
    <m/>
    <m/>
    <m/>
    <n v="-32.08"/>
    <m/>
    <m/>
    <m/>
  </r>
  <r>
    <x v="277"/>
    <m/>
    <x v="2"/>
    <s v="SERVIDOR CUENTAS"/>
    <s v="VPS PLATAFORMA CUENTAS"/>
    <x v="33"/>
    <m/>
    <m/>
    <m/>
    <m/>
    <m/>
    <n v="-9.2200000000000006"/>
    <m/>
    <m/>
    <m/>
  </r>
  <r>
    <x v="278"/>
    <s v="SALIDA CONTABLE"/>
    <x v="22"/>
    <m/>
    <s v="UTILIDADES 1 ABR - 15 MAY"/>
    <x v="165"/>
    <n v="-2129"/>
    <n v="0"/>
    <n v="0"/>
    <n v="0"/>
    <n v="0"/>
    <n v="0"/>
    <n v="0"/>
    <n v="0"/>
    <n v="0"/>
  </r>
  <r>
    <x v="278"/>
    <s v="SALIDA"/>
    <x v="2"/>
    <m/>
    <s v="NOMINA JUNIO"/>
    <x v="141"/>
    <m/>
    <n v="-2129"/>
    <m/>
    <m/>
    <m/>
    <m/>
    <m/>
    <m/>
    <m/>
  </r>
  <r>
    <x v="278"/>
    <s v="INGRESO CONTABLE"/>
    <x v="2"/>
    <m/>
    <s v="UTILIDADES ADRIANA"/>
    <x v="166"/>
    <n v="2129"/>
    <n v="0"/>
    <n v="0"/>
    <n v="0"/>
    <n v="0"/>
    <n v="0"/>
    <n v="0"/>
    <n v="0"/>
    <n v="0"/>
  </r>
  <r>
    <x v="278"/>
    <s v="SALIDA"/>
    <x v="26"/>
    <m/>
    <s v="Card charge (MANYCHAT.COM)"/>
    <x v="81"/>
    <m/>
    <m/>
    <m/>
    <m/>
    <m/>
    <n v="-50"/>
    <m/>
    <m/>
    <m/>
  </r>
  <r>
    <x v="279"/>
    <s v="SALIDA"/>
    <x v="26"/>
    <m/>
    <s v="Card charge (MANYCHAT.COM)"/>
    <x v="81"/>
    <m/>
    <m/>
    <m/>
    <m/>
    <m/>
    <n v="-50"/>
    <m/>
    <m/>
    <m/>
  </r>
  <r>
    <x v="280"/>
    <m/>
    <x v="2"/>
    <m/>
    <s v="Card charge (CURSOR, AI POWERED IDE)"/>
    <x v="161"/>
    <m/>
    <m/>
    <m/>
    <m/>
    <m/>
    <n v="-20"/>
    <m/>
    <m/>
    <m/>
  </r>
  <r>
    <x v="280"/>
    <s v="SALIDA"/>
    <x v="26"/>
    <m/>
    <s v="Card charge (MANYCHAT.COM)"/>
    <x v="81"/>
    <m/>
    <m/>
    <m/>
    <m/>
    <m/>
    <n v="-50"/>
    <m/>
    <m/>
    <m/>
  </r>
  <r>
    <x v="281"/>
    <m/>
    <x v="2"/>
    <m/>
    <s v="Card charge (OPENAI *CHATGPT SUBSCR)"/>
    <x v="167"/>
    <m/>
    <m/>
    <m/>
    <m/>
    <m/>
    <n v="-20"/>
    <m/>
    <m/>
    <m/>
  </r>
  <r>
    <x v="281"/>
    <s v="SALIDA"/>
    <x v="26"/>
    <m/>
    <s v="Card charge (MANYCHAT.COM)"/>
    <x v="81"/>
    <m/>
    <m/>
    <m/>
    <m/>
    <m/>
    <n v="-50"/>
    <m/>
    <m/>
    <m/>
  </r>
  <r>
    <x v="282"/>
    <s v="SALIDA"/>
    <x v="26"/>
    <m/>
    <s v="Card charge (MANYCHAT.COM)"/>
    <x v="81"/>
    <m/>
    <m/>
    <m/>
    <m/>
    <m/>
    <n v="-50"/>
    <m/>
    <m/>
    <m/>
  </r>
  <r>
    <x v="282"/>
    <s v="SALIDA"/>
    <x v="26"/>
    <m/>
    <s v="Card charge (MANYCHAT.COM)"/>
    <x v="81"/>
    <m/>
    <m/>
    <m/>
    <m/>
    <m/>
    <n v="-15"/>
    <m/>
    <m/>
    <m/>
  </r>
  <r>
    <x v="282"/>
    <s v="SALIDA"/>
    <x v="26"/>
    <m/>
    <s v="Card charge (MANYCHAT.COM)"/>
    <x v="81"/>
    <m/>
    <m/>
    <m/>
    <m/>
    <m/>
    <n v="-10"/>
    <m/>
    <m/>
    <m/>
  </r>
  <r>
    <x v="282"/>
    <m/>
    <x v="2"/>
    <m/>
    <s v="Payment to BANCOLOMBIA (1854)"/>
    <x v="141"/>
    <m/>
    <m/>
    <m/>
    <m/>
    <m/>
    <n v="-510.2"/>
    <m/>
    <m/>
    <m/>
  </r>
  <r>
    <x v="283"/>
    <m/>
    <x v="33"/>
    <m/>
    <s v="Payment from Hotmart"/>
    <x v="22"/>
    <m/>
    <m/>
    <m/>
    <m/>
    <n v="-2541.6999999999998"/>
    <n v="2541.71"/>
    <m/>
    <m/>
    <m/>
  </r>
  <r>
    <x v="283"/>
    <s v="SALIDA"/>
    <x v="26"/>
    <m/>
    <s v="Card charge (MANYCHAT.COM)"/>
    <x v="81"/>
    <m/>
    <m/>
    <m/>
    <m/>
    <m/>
    <n v="-50"/>
    <m/>
    <m/>
    <m/>
  </r>
  <r>
    <x v="284"/>
    <m/>
    <x v="2"/>
    <m/>
    <s v="Card charge (BOLT (BY STACKBLITZ))"/>
    <x v="149"/>
    <m/>
    <m/>
    <m/>
    <m/>
    <m/>
    <n v="-20"/>
    <m/>
    <m/>
    <m/>
  </r>
  <r>
    <x v="284"/>
    <m/>
    <x v="30"/>
    <m/>
    <s v="Card charge (FLODESK.COM)"/>
    <x v="90"/>
    <m/>
    <m/>
    <m/>
    <m/>
    <m/>
    <n v="-38"/>
    <m/>
    <m/>
    <m/>
  </r>
  <r>
    <x v="284"/>
    <m/>
    <x v="2"/>
    <m/>
    <s v="Card charge (GREATAPPS)"/>
    <x v="143"/>
    <m/>
    <m/>
    <m/>
    <m/>
    <m/>
    <n v="-49.73"/>
    <m/>
    <m/>
    <m/>
  </r>
  <r>
    <x v="284"/>
    <s v="SALIDA"/>
    <x v="26"/>
    <m/>
    <s v="Card charge (MANYCHAT.COM)"/>
    <x v="81"/>
    <m/>
    <m/>
    <m/>
    <m/>
    <m/>
    <n v="-50"/>
    <m/>
    <m/>
    <m/>
  </r>
  <r>
    <x v="284"/>
    <s v="SALIDA"/>
    <x v="26"/>
    <m/>
    <s v="Card charge (STREAMYARD.COM)"/>
    <x v="168"/>
    <m/>
    <m/>
    <m/>
    <m/>
    <m/>
    <n v="-44.99"/>
    <m/>
    <m/>
    <m/>
  </r>
  <r>
    <x v="285"/>
    <m/>
    <x v="2"/>
    <s v="DOMINIO"/>
    <s v="DOMINIO AUTOMSCC"/>
    <x v="33"/>
    <m/>
    <m/>
    <m/>
    <m/>
    <m/>
    <n v="-2.42"/>
    <m/>
    <m/>
    <m/>
  </r>
  <r>
    <x v="285"/>
    <m/>
    <x v="2"/>
    <m/>
    <s v="Card charge (STAPE, INC.)"/>
    <x v="75"/>
    <m/>
    <m/>
    <m/>
    <m/>
    <m/>
    <n v="-20"/>
    <m/>
    <m/>
    <m/>
  </r>
  <r>
    <x v="285"/>
    <s v="SALIDA"/>
    <x v="26"/>
    <m/>
    <s v="Card charge (SUPABASE)"/>
    <x v="169"/>
    <m/>
    <m/>
    <m/>
    <m/>
    <m/>
    <n v="-25"/>
    <m/>
    <m/>
    <m/>
  </r>
  <r>
    <x v="286"/>
    <s v="SALIDA"/>
    <x v="26"/>
    <m/>
    <s v="Card charge (MANYCHAT.COM)"/>
    <x v="81"/>
    <m/>
    <m/>
    <m/>
    <m/>
    <m/>
    <n v="-500"/>
    <m/>
    <m/>
    <m/>
  </r>
  <r>
    <x v="286"/>
    <s v="SALIDA"/>
    <x v="26"/>
    <m/>
    <s v="Card charge (MANYCHAT.COM)"/>
    <x v="81"/>
    <m/>
    <m/>
    <m/>
    <m/>
    <m/>
    <n v="-100"/>
    <m/>
    <m/>
    <m/>
  </r>
  <r>
    <x v="286"/>
    <s v="SALIDA"/>
    <x v="26"/>
    <m/>
    <s v="Card charge (MANYCHAT.COM)"/>
    <x v="81"/>
    <m/>
    <m/>
    <m/>
    <m/>
    <m/>
    <n v="-50"/>
    <m/>
    <m/>
    <m/>
  </r>
  <r>
    <x v="286"/>
    <s v="SALIDA"/>
    <x v="26"/>
    <m/>
    <s v="Card charge (STREAMYARD.COM)"/>
    <x v="168"/>
    <m/>
    <m/>
    <m/>
    <m/>
    <m/>
    <n v="-39.700000000000003"/>
    <m/>
    <m/>
    <m/>
  </r>
  <r>
    <x v="287"/>
    <s v="SALIDA"/>
    <x v="26"/>
    <s v="VPS PUNTAJE"/>
    <s v="VPS BOTS + API PUNTAJE"/>
    <x v="33"/>
    <m/>
    <m/>
    <m/>
    <m/>
    <m/>
    <n v="-19.850000000000001"/>
    <m/>
    <m/>
    <m/>
  </r>
  <r>
    <x v="287"/>
    <s v="SALIDA"/>
    <x v="26"/>
    <m/>
    <s v="Card charge (MANYCHAT.COM)"/>
    <x v="81"/>
    <m/>
    <m/>
    <m/>
    <m/>
    <m/>
    <n v="-100"/>
    <m/>
    <m/>
    <m/>
  </r>
  <r>
    <x v="287"/>
    <s v="SALIDA"/>
    <x v="26"/>
    <m/>
    <s v="Card charge (MANYCHAT.COM)"/>
    <x v="81"/>
    <m/>
    <m/>
    <m/>
    <m/>
    <m/>
    <n v="-100"/>
    <m/>
    <m/>
    <m/>
  </r>
  <r>
    <x v="287"/>
    <s v="SALIDA"/>
    <x v="26"/>
    <m/>
    <s v="Card charge (MANYCHAT.COM)"/>
    <x v="81"/>
    <m/>
    <m/>
    <m/>
    <m/>
    <m/>
    <n v="-100"/>
    <m/>
    <m/>
    <m/>
  </r>
  <r>
    <x v="287"/>
    <s v="SALIDA"/>
    <x v="26"/>
    <m/>
    <s v="Card charge (MANYCHAT.COM)"/>
    <x v="81"/>
    <m/>
    <m/>
    <m/>
    <m/>
    <m/>
    <n v="-100"/>
    <m/>
    <m/>
    <m/>
  </r>
  <r>
    <x v="287"/>
    <s v="SALIDA"/>
    <x v="26"/>
    <m/>
    <s v="Card charge (MANYCHAT.COM)"/>
    <x v="81"/>
    <m/>
    <m/>
    <m/>
    <m/>
    <m/>
    <n v="-100"/>
    <m/>
    <m/>
    <m/>
  </r>
  <r>
    <x v="287"/>
    <s v="SALIDA"/>
    <x v="26"/>
    <m/>
    <s v="Card charge (MANYCHAT.COM)"/>
    <x v="81"/>
    <m/>
    <m/>
    <m/>
    <m/>
    <m/>
    <n v="-100"/>
    <m/>
    <m/>
    <m/>
  </r>
  <r>
    <x v="288"/>
    <s v="SALIDA"/>
    <x v="26"/>
    <m/>
    <s v="Card charge (DEVZAPP LTDA)"/>
    <x v="80"/>
    <m/>
    <m/>
    <m/>
    <m/>
    <m/>
    <n v="-27"/>
    <m/>
    <m/>
    <m/>
  </r>
  <r>
    <x v="288"/>
    <s v="SALIDA"/>
    <x v="26"/>
    <m/>
    <s v="Card charge (MANYCHAT.COM)"/>
    <x v="81"/>
    <m/>
    <m/>
    <m/>
    <m/>
    <m/>
    <n v="-100"/>
    <m/>
    <m/>
    <m/>
  </r>
  <r>
    <x v="288"/>
    <s v="SALIDA"/>
    <x v="26"/>
    <m/>
    <s v="Card charge (MANYCHAT.COM)"/>
    <x v="81"/>
    <m/>
    <m/>
    <m/>
    <m/>
    <m/>
    <n v="-100"/>
    <m/>
    <m/>
    <m/>
  </r>
  <r>
    <x v="288"/>
    <s v="SALIDA"/>
    <x v="26"/>
    <m/>
    <s v="Card charge (MANYCHAT.COM)"/>
    <x v="81"/>
    <m/>
    <m/>
    <m/>
    <m/>
    <m/>
    <n v="-100"/>
    <m/>
    <m/>
    <m/>
  </r>
  <r>
    <x v="288"/>
    <s v="SALIDA"/>
    <x v="26"/>
    <m/>
    <s v="Card charge (MANYCHAT.COM)"/>
    <x v="81"/>
    <m/>
    <m/>
    <m/>
    <m/>
    <m/>
    <n v="-100"/>
    <m/>
    <m/>
    <m/>
  </r>
  <r>
    <x v="288"/>
    <s v="SALIDA"/>
    <x v="26"/>
    <m/>
    <s v="Card charge (MANYCHAT.COM)"/>
    <x v="81"/>
    <m/>
    <m/>
    <m/>
    <m/>
    <m/>
    <n v="-100"/>
    <m/>
    <m/>
    <m/>
  </r>
  <r>
    <x v="288"/>
    <s v="SALIDA"/>
    <x v="26"/>
    <m/>
    <s v="Card charge (MANYCHAT.COM)"/>
    <x v="81"/>
    <m/>
    <m/>
    <m/>
    <m/>
    <m/>
    <n v="-100"/>
    <m/>
    <m/>
    <m/>
  </r>
  <r>
    <x v="288"/>
    <s v="SALIDA"/>
    <x v="26"/>
    <m/>
    <s v="Card charge (MANYCHAT.COM)"/>
    <x v="81"/>
    <m/>
    <m/>
    <m/>
    <m/>
    <m/>
    <n v="-100"/>
    <m/>
    <m/>
    <m/>
  </r>
  <r>
    <x v="288"/>
    <s v="SALIDA"/>
    <x v="26"/>
    <m/>
    <s v="Card charge (MANYCHAT.COM)"/>
    <x v="81"/>
    <m/>
    <m/>
    <m/>
    <m/>
    <m/>
    <n v="-100"/>
    <m/>
    <m/>
    <m/>
  </r>
  <r>
    <x v="288"/>
    <s v="SALIDA"/>
    <x v="26"/>
    <m/>
    <s v="Card charge (MANYCHAT.COM)"/>
    <x v="81"/>
    <m/>
    <m/>
    <m/>
    <m/>
    <m/>
    <n v="-100"/>
    <m/>
    <m/>
    <m/>
  </r>
  <r>
    <x v="288"/>
    <s v="SALIDA"/>
    <x v="26"/>
    <m/>
    <s v="Card charge (Paypro 448003688867)"/>
    <x v="170"/>
    <m/>
    <m/>
    <m/>
    <m/>
    <m/>
    <n v="-44.61"/>
    <m/>
    <m/>
    <m/>
  </r>
  <r>
    <x v="289"/>
    <m/>
    <x v="22"/>
    <m/>
    <s v="VENTAS MAYO"/>
    <x v="60"/>
    <m/>
    <n v="1822"/>
    <m/>
    <m/>
    <m/>
    <m/>
    <m/>
    <m/>
    <m/>
  </r>
  <r>
    <x v="290"/>
    <s v="INGRESO"/>
    <x v="19"/>
    <m/>
    <s v="VENTAS MASTER - MAYO"/>
    <x v="60"/>
    <m/>
    <m/>
    <m/>
    <m/>
    <n v="3157"/>
    <m/>
    <m/>
    <m/>
    <m/>
  </r>
  <r>
    <x v="290"/>
    <s v="SALIDA"/>
    <x v="26"/>
    <m/>
    <s v="Card charge (MANYCHAT.COM)"/>
    <x v="81"/>
    <m/>
    <m/>
    <m/>
    <m/>
    <m/>
    <n v="-10"/>
    <m/>
    <m/>
    <m/>
  </r>
  <r>
    <x v="290"/>
    <m/>
    <x v="2"/>
    <m/>
    <s v="Card charge (STAPE, INC.)"/>
    <x v="75"/>
    <m/>
    <m/>
    <m/>
    <m/>
    <m/>
    <n v="-50"/>
    <m/>
    <m/>
    <m/>
  </r>
  <r>
    <x v="290"/>
    <s v="INGRESO"/>
    <x v="26"/>
    <m/>
    <s v="VENTAS MAYO"/>
    <x v="60"/>
    <m/>
    <m/>
    <m/>
    <m/>
    <n v="44828"/>
    <m/>
    <m/>
    <m/>
    <m/>
  </r>
  <r>
    <x v="290"/>
    <m/>
    <x v="29"/>
    <m/>
    <s v="VENTAS"/>
    <x v="60"/>
    <m/>
    <m/>
    <m/>
    <m/>
    <n v="428"/>
    <m/>
    <m/>
    <m/>
    <m/>
  </r>
  <r>
    <x v="291"/>
    <m/>
    <x v="2"/>
    <s v="DOMINIO"/>
    <s v="DOMINIO AUTOMSCC"/>
    <x v="33"/>
    <m/>
    <m/>
    <m/>
    <m/>
    <m/>
    <n v="-2.46"/>
    <m/>
    <m/>
    <m/>
  </r>
  <r>
    <x v="292"/>
    <m/>
    <x v="2"/>
    <s v="SERVIDOR CUENTAS"/>
    <s v="VPS PLATAFORMA CUENTAS"/>
    <x v="33"/>
    <m/>
    <m/>
    <m/>
    <m/>
    <m/>
    <n v="-12.7"/>
    <m/>
    <m/>
    <m/>
  </r>
  <r>
    <x v="293"/>
    <m/>
    <x v="29"/>
    <m/>
    <s v="PLATAFORMA CORREOS"/>
    <x v="90"/>
    <m/>
    <m/>
    <m/>
    <m/>
    <m/>
    <n v="-38"/>
    <m/>
    <m/>
    <m/>
  </r>
  <r>
    <x v="294"/>
    <m/>
    <x v="2"/>
    <m/>
    <s v="IA ASISTENTE CODIGO PLATAFORMAS"/>
    <x v="161"/>
    <m/>
    <m/>
    <m/>
    <m/>
    <m/>
    <n v="-5.54"/>
    <m/>
    <m/>
    <m/>
  </r>
  <r>
    <x v="295"/>
    <m/>
    <x v="35"/>
    <m/>
    <s v="Card charge (FACEBK *4GAFHQUW22)"/>
    <x v="95"/>
    <m/>
    <m/>
    <m/>
    <m/>
    <m/>
    <n v="-60"/>
    <m/>
    <m/>
    <m/>
  </r>
  <r>
    <x v="295"/>
    <m/>
    <x v="35"/>
    <m/>
    <s v="Card charge (FACEBK *X9NRDQQW22)"/>
    <x v="95"/>
    <m/>
    <m/>
    <m/>
    <m/>
    <m/>
    <n v="-60"/>
    <m/>
    <m/>
    <m/>
  </r>
  <r>
    <x v="295"/>
    <m/>
    <x v="36"/>
    <m/>
    <s v="PLATAFORMA CORREOS"/>
    <x v="90"/>
    <m/>
    <m/>
    <m/>
    <m/>
    <m/>
    <n v="-38"/>
    <m/>
    <m/>
    <m/>
  </r>
  <r>
    <x v="295"/>
    <m/>
    <x v="2"/>
    <s v="HOSTING"/>
    <s v="HOSTING WEB AGENCIA"/>
    <x v="33"/>
    <m/>
    <m/>
    <m/>
    <m/>
    <m/>
    <n v="-13.83"/>
    <m/>
    <m/>
    <m/>
  </r>
  <r>
    <x v="296"/>
    <m/>
    <x v="35"/>
    <m/>
    <s v="Card charge (FACEBK *H2YJLPGW22)"/>
    <x v="95"/>
    <m/>
    <m/>
    <m/>
    <m/>
    <m/>
    <n v="-60"/>
    <m/>
    <m/>
    <m/>
  </r>
  <r>
    <x v="296"/>
    <m/>
    <x v="35"/>
    <m/>
    <s v="Card charge (FACEBK *HULTCQCW22)"/>
    <x v="95"/>
    <m/>
    <m/>
    <m/>
    <m/>
    <m/>
    <n v="-60"/>
    <m/>
    <m/>
    <m/>
  </r>
  <r>
    <x v="296"/>
    <m/>
    <x v="35"/>
    <m/>
    <s v="Card charge (FACEBK *YQCTFPYV22)"/>
    <x v="95"/>
    <m/>
    <m/>
    <m/>
    <m/>
    <m/>
    <n v="-60"/>
    <m/>
    <m/>
    <m/>
  </r>
  <r>
    <x v="296"/>
    <m/>
    <x v="35"/>
    <m/>
    <s v="Card charge (FACEBK *UQHQRP4W22)"/>
    <x v="95"/>
    <m/>
    <m/>
    <m/>
    <m/>
    <m/>
    <n v="-60"/>
    <m/>
    <m/>
    <m/>
  </r>
  <r>
    <x v="296"/>
    <m/>
    <x v="35"/>
    <m/>
    <s v="Card charge (FACEBK *SPPJCQCW22)"/>
    <x v="95"/>
    <m/>
    <m/>
    <m/>
    <m/>
    <m/>
    <n v="-60"/>
    <m/>
    <m/>
    <m/>
  </r>
  <r>
    <x v="296"/>
    <m/>
    <x v="35"/>
    <m/>
    <s v="Card charge (FACEBK *9HXEKPGW22)"/>
    <x v="95"/>
    <m/>
    <m/>
    <m/>
    <m/>
    <m/>
    <n v="-60"/>
    <m/>
    <m/>
    <m/>
  </r>
  <r>
    <x v="296"/>
    <m/>
    <x v="35"/>
    <m/>
    <s v="Card charge (FACEBK *WKN6FQQW22)"/>
    <x v="95"/>
    <m/>
    <m/>
    <m/>
    <m/>
    <m/>
    <n v="-60"/>
    <m/>
    <m/>
    <m/>
  </r>
  <r>
    <x v="296"/>
    <m/>
    <x v="35"/>
    <m/>
    <s v="Card charge (FACEBK *UW8JBQCW22)"/>
    <x v="95"/>
    <m/>
    <m/>
    <m/>
    <m/>
    <m/>
    <n v="-60"/>
    <m/>
    <m/>
    <m/>
  </r>
  <r>
    <x v="296"/>
    <m/>
    <x v="35"/>
    <m/>
    <s v="Card charge (FACEBK *XYFWDQCW22)"/>
    <x v="95"/>
    <m/>
    <m/>
    <m/>
    <m/>
    <m/>
    <n v="-60"/>
    <m/>
    <m/>
    <m/>
  </r>
  <r>
    <x v="296"/>
    <m/>
    <x v="35"/>
    <m/>
    <s v="Card charge (FACEBK *WF37MQUW22)"/>
    <x v="95"/>
    <m/>
    <m/>
    <m/>
    <m/>
    <m/>
    <n v="-60"/>
    <m/>
    <m/>
    <m/>
  </r>
  <r>
    <x v="296"/>
    <m/>
    <x v="35"/>
    <m/>
    <s v="Card charge (FACEBK *SPMSFPLW22)"/>
    <x v="95"/>
    <m/>
    <m/>
    <m/>
    <m/>
    <m/>
    <n v="-60"/>
    <m/>
    <m/>
    <m/>
  </r>
  <r>
    <x v="296"/>
    <m/>
    <x v="35"/>
    <m/>
    <s v="Card charge (FACEBK *CHRTTP4W22)"/>
    <x v="95"/>
    <m/>
    <m/>
    <m/>
    <m/>
    <m/>
    <n v="-60"/>
    <m/>
    <m/>
    <m/>
  </r>
  <r>
    <x v="296"/>
    <s v="SALIDA"/>
    <x v="26"/>
    <m/>
    <s v="PLATAFORMA CORREOS"/>
    <x v="90"/>
    <m/>
    <m/>
    <m/>
    <m/>
    <m/>
    <n v="-38"/>
    <m/>
    <m/>
    <m/>
  </r>
  <r>
    <x v="296"/>
    <s v="SALIDA"/>
    <x v="26"/>
    <m/>
    <s v="MEMBRESIA MANYCHAT"/>
    <x v="81"/>
    <m/>
    <m/>
    <m/>
    <m/>
    <m/>
    <n v="-444"/>
    <m/>
    <m/>
    <m/>
  </r>
  <r>
    <x v="297"/>
    <m/>
    <x v="35"/>
    <m/>
    <s v="Card charge (FACEBK *2WHKKQQW22)"/>
    <x v="95"/>
    <m/>
    <m/>
    <m/>
    <m/>
    <m/>
    <n v="-60"/>
    <m/>
    <m/>
    <m/>
  </r>
  <r>
    <x v="297"/>
    <m/>
    <x v="35"/>
    <m/>
    <s v="Card charge (FACEBK *3JQWPPGW22)"/>
    <x v="95"/>
    <m/>
    <m/>
    <m/>
    <m/>
    <m/>
    <n v="-60"/>
    <m/>
    <m/>
    <m/>
  </r>
  <r>
    <x v="297"/>
    <m/>
    <x v="35"/>
    <m/>
    <s v="Card charge (FACEBK *V4TEJQQW22)"/>
    <x v="95"/>
    <m/>
    <m/>
    <m/>
    <m/>
    <m/>
    <n v="-60"/>
    <m/>
    <m/>
    <m/>
  </r>
  <r>
    <x v="297"/>
    <m/>
    <x v="35"/>
    <m/>
    <s v="Card charge (FACEBK *F6G5KQQW22)"/>
    <x v="95"/>
    <m/>
    <m/>
    <m/>
    <m/>
    <m/>
    <n v="-60"/>
    <m/>
    <m/>
    <m/>
  </r>
  <r>
    <x v="297"/>
    <m/>
    <x v="35"/>
    <m/>
    <s v="Card charge (FACEBK *EXJEPPGW22)"/>
    <x v="95"/>
    <m/>
    <m/>
    <m/>
    <m/>
    <m/>
    <n v="-60"/>
    <m/>
    <m/>
    <m/>
  </r>
  <r>
    <x v="297"/>
    <m/>
    <x v="35"/>
    <m/>
    <s v="Card charge (FACEBK *AL9EMQUV22)"/>
    <x v="95"/>
    <m/>
    <m/>
    <m/>
    <m/>
    <m/>
    <n v="-60"/>
    <m/>
    <m/>
    <m/>
  </r>
  <r>
    <x v="297"/>
    <m/>
    <x v="35"/>
    <m/>
    <s v="Card charge (FACEBK *RY5FNPGW22)"/>
    <x v="95"/>
    <m/>
    <m/>
    <m/>
    <m/>
    <m/>
    <n v="-60"/>
    <m/>
    <m/>
    <m/>
  </r>
  <r>
    <x v="297"/>
    <s v="SALIDA"/>
    <x v="26"/>
    <s v="HOSTING"/>
    <s v="VPS HOSTING GERSSON"/>
    <x v="33"/>
    <m/>
    <m/>
    <m/>
    <m/>
    <m/>
    <n v="-14.62"/>
    <m/>
    <m/>
    <m/>
  </r>
  <r>
    <x v="298"/>
    <m/>
    <x v="35"/>
    <m/>
    <s v="Card charge (FACEBK *3WQLNQUV22)"/>
    <x v="95"/>
    <m/>
    <m/>
    <m/>
    <m/>
    <m/>
    <n v="-60"/>
    <m/>
    <m/>
    <m/>
  </r>
  <r>
    <x v="298"/>
    <m/>
    <x v="35"/>
    <m/>
    <s v="Card charge (FACEBK *G3XZJPLW22)"/>
    <x v="95"/>
    <m/>
    <m/>
    <m/>
    <m/>
    <m/>
    <n v="-60"/>
    <m/>
    <m/>
    <m/>
  </r>
  <r>
    <x v="298"/>
    <m/>
    <x v="35"/>
    <m/>
    <s v="Card charge (FACEBK *73XVKPLW22)"/>
    <x v="95"/>
    <m/>
    <m/>
    <m/>
    <m/>
    <m/>
    <n v="-60"/>
    <m/>
    <m/>
    <m/>
  </r>
  <r>
    <x v="298"/>
    <m/>
    <x v="35"/>
    <m/>
    <s v="Card charge (FACEBK *V5U5LPLW22)"/>
    <x v="95"/>
    <m/>
    <m/>
    <m/>
    <m/>
    <m/>
    <n v="-60"/>
    <m/>
    <m/>
    <m/>
  </r>
  <r>
    <x v="298"/>
    <m/>
    <x v="35"/>
    <m/>
    <s v="Card charge (FACEBK *56WRMPYV22)"/>
    <x v="95"/>
    <m/>
    <m/>
    <m/>
    <m/>
    <m/>
    <n v="-60"/>
    <m/>
    <m/>
    <m/>
  </r>
  <r>
    <x v="298"/>
    <m/>
    <x v="2"/>
    <s v="VPS N8N"/>
    <s v="VPS N8N AGENCIA"/>
    <x v="33"/>
    <m/>
    <m/>
    <m/>
    <m/>
    <m/>
    <n v="-60.84"/>
    <m/>
    <m/>
    <m/>
  </r>
  <r>
    <x v="299"/>
    <m/>
    <x v="35"/>
    <m/>
    <s v="Card charge (FACEBK *CT6CUPGW22)"/>
    <x v="95"/>
    <m/>
    <m/>
    <m/>
    <m/>
    <m/>
    <n v="-60"/>
    <m/>
    <m/>
    <m/>
  </r>
  <r>
    <x v="299"/>
    <m/>
    <x v="35"/>
    <m/>
    <s v="Card charge (FACEBK *LGNDKQCW22)"/>
    <x v="95"/>
    <m/>
    <m/>
    <m/>
    <m/>
    <m/>
    <n v="-60"/>
    <m/>
    <m/>
    <m/>
  </r>
  <r>
    <x v="299"/>
    <m/>
    <x v="2"/>
    <m/>
    <s v="PLATAFORMA ESPIONAJE"/>
    <x v="164"/>
    <m/>
    <m/>
    <m/>
    <m/>
    <m/>
    <n v="-23.63"/>
    <m/>
    <m/>
    <m/>
  </r>
  <r>
    <x v="300"/>
    <m/>
    <x v="35"/>
    <m/>
    <s v="Card charge (FACEBK *BGUQQPLW22)"/>
    <x v="95"/>
    <m/>
    <m/>
    <m/>
    <m/>
    <m/>
    <n v="-60"/>
    <m/>
    <m/>
    <m/>
  </r>
  <r>
    <x v="300"/>
    <m/>
    <x v="35"/>
    <m/>
    <s v="Card charge (FACEBK *QP28VPGW22)"/>
    <x v="95"/>
    <m/>
    <m/>
    <m/>
    <m/>
    <m/>
    <n v="-60"/>
    <m/>
    <m/>
    <m/>
  </r>
  <r>
    <x v="301"/>
    <m/>
    <x v="35"/>
    <m/>
    <s v="Card charge (FACEBK *GT66VPYV22)"/>
    <x v="95"/>
    <m/>
    <m/>
    <m/>
    <m/>
    <m/>
    <n v="-60"/>
    <m/>
    <m/>
    <m/>
  </r>
  <r>
    <x v="301"/>
    <m/>
    <x v="35"/>
    <m/>
    <s v="Card charge (FACEBK *3378TPLW22)"/>
    <x v="95"/>
    <m/>
    <m/>
    <m/>
    <m/>
    <m/>
    <n v="-60"/>
    <m/>
    <m/>
    <m/>
  </r>
  <r>
    <x v="301"/>
    <m/>
    <x v="35"/>
    <m/>
    <s v="Card charge (FACEBK *WDV6XPGW22)"/>
    <x v="95"/>
    <m/>
    <m/>
    <m/>
    <m/>
    <m/>
    <n v="-60"/>
    <m/>
    <m/>
    <m/>
  </r>
  <r>
    <x v="302"/>
    <m/>
    <x v="35"/>
    <m/>
    <s v="Card charge (FACEBK *K5VBYPGW22)"/>
    <x v="95"/>
    <m/>
    <m/>
    <m/>
    <m/>
    <m/>
    <n v="-60"/>
    <m/>
    <m/>
    <m/>
  </r>
  <r>
    <x v="302"/>
    <m/>
    <x v="2"/>
    <m/>
    <s v="Card charge (ADVERONIX LLC)"/>
    <x v="148"/>
    <m/>
    <m/>
    <m/>
    <m/>
    <m/>
    <n v="-59"/>
    <m/>
    <m/>
    <m/>
  </r>
  <r>
    <x v="303"/>
    <m/>
    <x v="35"/>
    <m/>
    <s v="Card charge (FACEBK *KKZUPQ8W22)"/>
    <x v="95"/>
    <m/>
    <m/>
    <m/>
    <m/>
    <m/>
    <n v="-60"/>
    <m/>
    <m/>
    <m/>
  </r>
  <r>
    <x v="303"/>
    <m/>
    <x v="35"/>
    <m/>
    <s v="Card charge (FACEBK *5WRGYPYV22)"/>
    <x v="95"/>
    <m/>
    <m/>
    <m/>
    <m/>
    <m/>
    <n v="-60"/>
    <m/>
    <m/>
    <m/>
  </r>
  <r>
    <x v="303"/>
    <m/>
    <x v="35"/>
    <m/>
    <s v="Card charge (FACEBK *AVRXYPYV22)"/>
    <x v="95"/>
    <m/>
    <m/>
    <m/>
    <m/>
    <m/>
    <n v="-60"/>
    <m/>
    <m/>
    <m/>
  </r>
  <r>
    <x v="303"/>
    <m/>
    <x v="35"/>
    <m/>
    <s v="Card charge (FACEBK *GVERMQ8W22)"/>
    <x v="95"/>
    <m/>
    <m/>
    <m/>
    <m/>
    <m/>
    <n v="-60"/>
    <m/>
    <m/>
    <m/>
  </r>
  <r>
    <x v="303"/>
    <m/>
    <x v="35"/>
    <m/>
    <s v="Card charge (FACEBK *5TUA2QGW22)"/>
    <x v="95"/>
    <m/>
    <m/>
    <m/>
    <m/>
    <m/>
    <n v="-60"/>
    <m/>
    <m/>
    <m/>
  </r>
  <r>
    <x v="303"/>
    <m/>
    <x v="35"/>
    <m/>
    <s v="Card charge (FACEBK *KT8QWPYV22)"/>
    <x v="95"/>
    <m/>
    <m/>
    <m/>
    <m/>
    <m/>
    <n v="-60"/>
    <m/>
    <m/>
    <m/>
  </r>
  <r>
    <x v="303"/>
    <m/>
    <x v="37"/>
    <s v="VPS N8N"/>
    <s v="VPS N8N GERSSON"/>
    <x v="33"/>
    <m/>
    <m/>
    <m/>
    <m/>
    <m/>
    <n v="-17.260000000000002"/>
    <m/>
    <m/>
    <m/>
  </r>
  <r>
    <x v="304"/>
    <m/>
    <x v="35"/>
    <m/>
    <s v="Card charge (FACEBK *5S3Z2RQW22)"/>
    <x v="95"/>
    <m/>
    <m/>
    <m/>
    <m/>
    <m/>
    <n v="-60"/>
    <m/>
    <m/>
    <m/>
  </r>
  <r>
    <x v="304"/>
    <m/>
    <x v="35"/>
    <m/>
    <s v="Card charge (FACEBK *LVFPXQCW22)"/>
    <x v="95"/>
    <m/>
    <m/>
    <m/>
    <m/>
    <m/>
    <n v="-60"/>
    <m/>
    <m/>
    <m/>
  </r>
  <r>
    <x v="304"/>
    <m/>
    <x v="35"/>
    <m/>
    <s v="Card charge (FACEBK *FLSCXQCW22)"/>
    <x v="95"/>
    <m/>
    <m/>
    <m/>
    <m/>
    <m/>
    <n v="-60"/>
    <m/>
    <m/>
    <m/>
  </r>
  <r>
    <x v="305"/>
    <m/>
    <x v="35"/>
    <m/>
    <s v="Card charge (FACEBK *6QHA5QYV22)"/>
    <x v="95"/>
    <m/>
    <m/>
    <m/>
    <m/>
    <m/>
    <n v="-60"/>
    <m/>
    <m/>
    <m/>
  </r>
  <r>
    <x v="305"/>
    <m/>
    <x v="35"/>
    <m/>
    <s v="Card charge (FACEBK *NTZR5QYV22)"/>
    <x v="95"/>
    <m/>
    <m/>
    <m/>
    <m/>
    <m/>
    <n v="-60"/>
    <m/>
    <m/>
    <m/>
  </r>
  <r>
    <x v="305"/>
    <m/>
    <x v="35"/>
    <m/>
    <s v="Card charge (FACEBK *5F2F4QYV22)"/>
    <x v="95"/>
    <m/>
    <m/>
    <m/>
    <m/>
    <m/>
    <n v="-60"/>
    <m/>
    <m/>
    <m/>
  </r>
  <r>
    <x v="306"/>
    <m/>
    <x v="35"/>
    <m/>
    <s v="Card charge (FACEBK *9MBJ4RCW22)"/>
    <x v="95"/>
    <m/>
    <m/>
    <m/>
    <m/>
    <m/>
    <n v="-60"/>
    <m/>
    <m/>
    <m/>
  </r>
  <r>
    <x v="306"/>
    <m/>
    <x v="35"/>
    <m/>
    <s v="Card charge (FACEBK *EPNWVQ8W22)"/>
    <x v="95"/>
    <m/>
    <m/>
    <m/>
    <m/>
    <m/>
    <n v="-60"/>
    <m/>
    <m/>
    <m/>
  </r>
  <r>
    <x v="306"/>
    <m/>
    <x v="35"/>
    <m/>
    <s v="Card charge (FACEBK *8SJBAQGW22)"/>
    <x v="95"/>
    <m/>
    <m/>
    <m/>
    <m/>
    <m/>
    <n v="-60.24"/>
    <m/>
    <m/>
    <m/>
  </r>
  <r>
    <x v="306"/>
    <m/>
    <x v="35"/>
    <m/>
    <s v="Card charge (FACEBK *CDN7HQ4W22)"/>
    <x v="95"/>
    <m/>
    <m/>
    <m/>
    <m/>
    <m/>
    <n v="-18.399999999999999"/>
    <m/>
    <m/>
    <m/>
  </r>
  <r>
    <x v="306"/>
    <m/>
    <x v="33"/>
    <m/>
    <s v="Payment from Hotmart"/>
    <x v="152"/>
    <m/>
    <m/>
    <m/>
    <m/>
    <n v="-49997"/>
    <n v="49997"/>
    <m/>
    <m/>
    <m/>
  </r>
  <r>
    <x v="307"/>
    <m/>
    <x v="35"/>
    <m/>
    <s v="Card charge (FACEBK *UXTUYQ8W22)"/>
    <x v="95"/>
    <m/>
    <m/>
    <m/>
    <m/>
    <m/>
    <n v="-60"/>
    <m/>
    <m/>
    <m/>
  </r>
  <r>
    <x v="307"/>
    <m/>
    <x v="35"/>
    <m/>
    <s v="Card charge (FACEBK *QLFF6RCW22)"/>
    <x v="95"/>
    <m/>
    <m/>
    <m/>
    <m/>
    <m/>
    <n v="-60"/>
    <m/>
    <m/>
    <m/>
  </r>
  <r>
    <x v="307"/>
    <m/>
    <x v="35"/>
    <m/>
    <s v="Card charge (FACEBK *963V8QYV22)"/>
    <x v="95"/>
    <m/>
    <m/>
    <m/>
    <m/>
    <m/>
    <n v="-60"/>
    <m/>
    <m/>
    <m/>
  </r>
  <r>
    <x v="308"/>
    <m/>
    <x v="35"/>
    <m/>
    <s v="Card charge (FACEBK *ZLQEBQLW22)"/>
    <x v="95"/>
    <m/>
    <m/>
    <m/>
    <m/>
    <m/>
    <n v="-60"/>
    <m/>
    <m/>
    <m/>
  </r>
  <r>
    <x v="308"/>
    <m/>
    <x v="35"/>
    <m/>
    <s v="Card charge (FACEBK *UFZKBQYV22)"/>
    <x v="95"/>
    <m/>
    <m/>
    <m/>
    <m/>
    <m/>
    <n v="-60"/>
    <m/>
    <m/>
    <m/>
  </r>
  <r>
    <x v="308"/>
    <m/>
    <x v="35"/>
    <m/>
    <s v="Card charge (FACEBK *SRA4ERUV22)"/>
    <x v="95"/>
    <m/>
    <m/>
    <m/>
    <m/>
    <m/>
    <n v="-60"/>
    <m/>
    <m/>
    <m/>
  </r>
  <r>
    <x v="308"/>
    <m/>
    <x v="35"/>
    <m/>
    <s v="Card charge (FACEBK *RDNWBRQW22)"/>
    <x v="95"/>
    <m/>
    <m/>
    <m/>
    <m/>
    <m/>
    <n v="-60"/>
    <m/>
    <m/>
    <m/>
  </r>
  <r>
    <x v="309"/>
    <m/>
    <x v="35"/>
    <m/>
    <s v="Card charge (FACEBK *AYDEPQ4W22)"/>
    <x v="95"/>
    <m/>
    <m/>
    <m/>
    <m/>
    <m/>
    <n v="-60"/>
    <m/>
    <m/>
    <m/>
  </r>
  <r>
    <x v="309"/>
    <m/>
    <x v="33"/>
    <m/>
    <s v="Payment from Hotmart"/>
    <x v="152"/>
    <m/>
    <m/>
    <m/>
    <m/>
    <n v="-11584.93"/>
    <n v="11584.93"/>
    <m/>
    <m/>
    <m/>
  </r>
  <r>
    <x v="310"/>
    <m/>
    <x v="35"/>
    <m/>
    <s v="Card charge (FACEBK *37AHHQYV22)"/>
    <x v="95"/>
    <m/>
    <m/>
    <m/>
    <m/>
    <m/>
    <n v="-60"/>
    <m/>
    <m/>
    <m/>
  </r>
  <r>
    <x v="310"/>
    <m/>
    <x v="35"/>
    <m/>
    <s v="Card charge (FACEBK *QFVMJRUV22)"/>
    <x v="95"/>
    <m/>
    <m/>
    <m/>
    <m/>
    <m/>
    <n v="-60"/>
    <m/>
    <m/>
    <m/>
  </r>
  <r>
    <x v="310"/>
    <m/>
    <x v="35"/>
    <m/>
    <s v="Card charge (FACEBK *QDG7FQLW22)"/>
    <x v="95"/>
    <m/>
    <m/>
    <m/>
    <m/>
    <m/>
    <n v="-60"/>
    <m/>
    <m/>
    <m/>
  </r>
  <r>
    <x v="310"/>
    <m/>
    <x v="35"/>
    <m/>
    <s v="Card charge (FACEBK *NCW2EQLW22)"/>
    <x v="95"/>
    <m/>
    <m/>
    <m/>
    <m/>
    <m/>
    <n v="-60"/>
    <m/>
    <m/>
    <m/>
  </r>
  <r>
    <x v="310"/>
    <m/>
    <x v="35"/>
    <m/>
    <s v="Card charge (FACEBK *HZBCFQYV22)"/>
    <x v="95"/>
    <m/>
    <m/>
    <m/>
    <m/>
    <m/>
    <n v="-60"/>
    <m/>
    <m/>
    <m/>
  </r>
  <r>
    <x v="310"/>
    <m/>
    <x v="38"/>
    <s v="DOMINIO"/>
    <s v="DOMINIO academysantiagomendez.com"/>
    <x v="33"/>
    <m/>
    <m/>
    <m/>
    <m/>
    <m/>
    <n v="-9.58"/>
    <m/>
    <m/>
    <m/>
  </r>
  <r>
    <x v="310"/>
    <m/>
    <x v="35"/>
    <m/>
    <s v="Card charge (FACEBK *PTMVEQYV22)"/>
    <x v="95"/>
    <m/>
    <m/>
    <m/>
    <m/>
    <m/>
    <n v="-60"/>
    <m/>
    <m/>
    <m/>
  </r>
  <r>
    <x v="310"/>
    <m/>
    <x v="35"/>
    <m/>
    <s v="Card charge (FACEBK *L5DPCQLW22)"/>
    <x v="95"/>
    <m/>
    <m/>
    <m/>
    <m/>
    <m/>
    <n v="-60"/>
    <m/>
    <m/>
    <m/>
  </r>
  <r>
    <x v="311"/>
    <m/>
    <x v="35"/>
    <m/>
    <s v="Card charge (FACEBK *ZVVJNRUW22)"/>
    <x v="95"/>
    <m/>
    <m/>
    <m/>
    <m/>
    <m/>
    <n v="-60"/>
    <m/>
    <m/>
    <m/>
  </r>
  <r>
    <x v="311"/>
    <m/>
    <x v="35"/>
    <m/>
    <s v="Card charge (FACEBK *TGGEHRQW22)"/>
    <x v="95"/>
    <m/>
    <m/>
    <m/>
    <m/>
    <m/>
    <n v="-60"/>
    <m/>
    <m/>
    <m/>
  </r>
  <r>
    <x v="311"/>
    <m/>
    <x v="35"/>
    <m/>
    <s v="Card charge (FACEBK *PYDU8R8W22)"/>
    <x v="95"/>
    <m/>
    <m/>
    <m/>
    <m/>
    <m/>
    <n v="-60"/>
    <m/>
    <m/>
    <m/>
  </r>
  <r>
    <x v="312"/>
    <m/>
    <x v="35"/>
    <m/>
    <s v="Card charge (FACEBK *EV95JRCW22)"/>
    <x v="95"/>
    <m/>
    <m/>
    <m/>
    <m/>
    <m/>
    <n v="-60"/>
    <m/>
    <m/>
    <m/>
  </r>
  <r>
    <x v="312"/>
    <m/>
    <x v="35"/>
    <m/>
    <s v="Card charge (FACEBK *QWJDRQGW22)"/>
    <x v="95"/>
    <m/>
    <m/>
    <m/>
    <m/>
    <m/>
    <n v="-60"/>
    <m/>
    <m/>
    <m/>
  </r>
  <r>
    <x v="312"/>
    <m/>
    <x v="35"/>
    <m/>
    <s v="Card charge (FACEBK *G3Y6HRCW22)"/>
    <x v="95"/>
    <m/>
    <m/>
    <m/>
    <m/>
    <m/>
    <n v="-60"/>
    <m/>
    <m/>
    <m/>
  </r>
  <r>
    <x v="312"/>
    <m/>
    <x v="35"/>
    <m/>
    <s v="Card charge (FACEBK *F5WHLRQW22)"/>
    <x v="95"/>
    <m/>
    <m/>
    <m/>
    <m/>
    <m/>
    <n v="-60"/>
    <m/>
    <m/>
    <m/>
  </r>
  <r>
    <x v="312"/>
    <m/>
    <x v="35"/>
    <m/>
    <s v="Card charge (FACEBK *YFVS9R8W22)"/>
    <x v="95"/>
    <m/>
    <m/>
    <m/>
    <m/>
    <m/>
    <n v="-60"/>
    <m/>
    <m/>
    <m/>
  </r>
  <r>
    <x v="313"/>
    <m/>
    <x v="35"/>
    <m/>
    <s v="Card charge (FACEBK *Q5Y3NQLW22)"/>
    <x v="95"/>
    <m/>
    <m/>
    <m/>
    <m/>
    <m/>
    <n v="-60"/>
    <m/>
    <m/>
    <m/>
  </r>
  <r>
    <x v="313"/>
    <m/>
    <x v="35"/>
    <m/>
    <s v="Card charge (FACEBK *9VLGTQGW22)"/>
    <x v="95"/>
    <m/>
    <m/>
    <m/>
    <m/>
    <m/>
    <n v="-60"/>
    <m/>
    <m/>
    <m/>
  </r>
  <r>
    <x v="313"/>
    <m/>
    <x v="35"/>
    <m/>
    <s v="Card charge (FACEBK *SVW7TQGW22)"/>
    <x v="95"/>
    <m/>
    <m/>
    <m/>
    <m/>
    <m/>
    <n v="-60"/>
    <m/>
    <m/>
    <m/>
  </r>
  <r>
    <x v="313"/>
    <m/>
    <x v="35"/>
    <m/>
    <s v="Card charge (FACEBK *LN82SQGW22)"/>
    <x v="95"/>
    <m/>
    <m/>
    <m/>
    <m/>
    <m/>
    <n v="-60"/>
    <m/>
    <m/>
    <m/>
  </r>
  <r>
    <x v="313"/>
    <m/>
    <x v="35"/>
    <m/>
    <s v="Card charge (FACEBK *KQJESQGW22)"/>
    <x v="95"/>
    <m/>
    <m/>
    <m/>
    <m/>
    <m/>
    <n v="-60"/>
    <m/>
    <m/>
    <m/>
  </r>
  <r>
    <x v="313"/>
    <s v="SALIDA"/>
    <x v="26"/>
    <m/>
    <s v="Card charge (STREAMYARD.COM)"/>
    <x v="168"/>
    <m/>
    <m/>
    <m/>
    <m/>
    <m/>
    <n v="-44.99"/>
    <m/>
    <m/>
    <m/>
  </r>
  <r>
    <x v="313"/>
    <m/>
    <x v="2"/>
    <m/>
    <s v="Card charge (OPENAI *CHATGPT SUBSCR)"/>
    <x v="35"/>
    <m/>
    <m/>
    <m/>
    <m/>
    <m/>
    <n v="-20"/>
    <m/>
    <m/>
    <m/>
  </r>
  <r>
    <x v="314"/>
    <m/>
    <x v="35"/>
    <m/>
    <s v="Card charge (FACEBK *3VA4QQLW22)"/>
    <x v="95"/>
    <m/>
    <m/>
    <m/>
    <m/>
    <m/>
    <n v="-60"/>
    <m/>
    <m/>
    <m/>
  </r>
  <r>
    <x v="314"/>
    <m/>
    <x v="35"/>
    <m/>
    <s v="Card charge (FACEBK *PUFYMRCW22)"/>
    <x v="95"/>
    <m/>
    <m/>
    <m/>
    <m/>
    <m/>
    <n v="-60"/>
    <m/>
    <m/>
    <m/>
  </r>
  <r>
    <x v="314"/>
    <m/>
    <x v="35"/>
    <m/>
    <s v="Card charge (FACEBK *HLEQURUW22)"/>
    <x v="95"/>
    <m/>
    <m/>
    <m/>
    <m/>
    <m/>
    <n v="-60"/>
    <m/>
    <m/>
    <m/>
  </r>
  <r>
    <x v="314"/>
    <m/>
    <x v="35"/>
    <m/>
    <s v="Card charge (FACEBK *BF8BQQYV22)"/>
    <x v="95"/>
    <m/>
    <m/>
    <m/>
    <m/>
    <m/>
    <n v="-60"/>
    <m/>
    <m/>
    <m/>
  </r>
  <r>
    <x v="315"/>
    <m/>
    <x v="35"/>
    <m/>
    <s v="Card charge (FACEBK *L6T2SQLW22)"/>
    <x v="95"/>
    <m/>
    <m/>
    <m/>
    <m/>
    <m/>
    <n v="-60"/>
    <m/>
    <m/>
    <m/>
  </r>
  <r>
    <x v="315"/>
    <m/>
    <x v="35"/>
    <m/>
    <s v="Card charge (FACEBK *FM9FTQYV22)"/>
    <x v="95"/>
    <m/>
    <m/>
    <m/>
    <m/>
    <m/>
    <n v="-60"/>
    <m/>
    <m/>
    <m/>
  </r>
  <r>
    <x v="315"/>
    <m/>
    <x v="35"/>
    <m/>
    <s v="Card charge (FACEBK *4T264R4W22)"/>
    <x v="95"/>
    <m/>
    <m/>
    <m/>
    <m/>
    <m/>
    <n v="-60"/>
    <m/>
    <m/>
    <m/>
  </r>
  <r>
    <x v="315"/>
    <m/>
    <x v="35"/>
    <m/>
    <s v="Card charge (FACEBK *SLY9SQYV22)"/>
    <x v="95"/>
    <m/>
    <m/>
    <m/>
    <m/>
    <m/>
    <n v="-60"/>
    <m/>
    <m/>
    <m/>
  </r>
  <r>
    <x v="315"/>
    <m/>
    <x v="2"/>
    <m/>
    <s v="Pago por verificación de app hotapi"/>
    <x v="171"/>
    <m/>
    <m/>
    <m/>
    <m/>
    <m/>
    <n v="-55.75"/>
    <m/>
    <m/>
    <m/>
  </r>
  <r>
    <x v="315"/>
    <m/>
    <x v="2"/>
    <m/>
    <s v="Card charge (GREATAPPS)"/>
    <x v="143"/>
    <m/>
    <m/>
    <m/>
    <m/>
    <m/>
    <n v="-50.82"/>
    <m/>
    <m/>
    <m/>
  </r>
  <r>
    <x v="315"/>
    <m/>
    <x v="2"/>
    <m/>
    <s v="Card charge (CURSOR, AI POWERED IDE)"/>
    <x v="161"/>
    <m/>
    <m/>
    <m/>
    <m/>
    <m/>
    <n v="-20"/>
    <m/>
    <m/>
    <m/>
  </r>
  <r>
    <x v="316"/>
    <m/>
    <x v="35"/>
    <m/>
    <s v="Card charge (FACEBK *N3DMYQGW22)"/>
    <x v="95"/>
    <m/>
    <m/>
    <m/>
    <m/>
    <m/>
    <n v="-60"/>
    <m/>
    <m/>
    <m/>
  </r>
  <r>
    <x v="317"/>
    <m/>
    <x v="35"/>
    <m/>
    <s v="Card charge (FACEBK *49EMXQYV22)"/>
    <x v="95"/>
    <m/>
    <m/>
    <m/>
    <m/>
    <m/>
    <n v="-60"/>
    <m/>
    <m/>
    <m/>
  </r>
  <r>
    <x v="317"/>
    <m/>
    <x v="35"/>
    <m/>
    <s v="Card charge (FACEBK *NKRMLR8W22)"/>
    <x v="95"/>
    <m/>
    <m/>
    <m/>
    <m/>
    <m/>
    <n v="-60"/>
    <m/>
    <m/>
    <m/>
  </r>
  <r>
    <x v="317"/>
    <m/>
    <x v="35"/>
    <m/>
    <s v="Card charge (FACEBK *9SVKKR8W22)"/>
    <x v="95"/>
    <m/>
    <m/>
    <m/>
    <m/>
    <m/>
    <n v="-60"/>
    <m/>
    <m/>
    <m/>
  </r>
  <r>
    <x v="317"/>
    <m/>
    <x v="35"/>
    <m/>
    <s v="Card charge (FACEBK *AKCE2RGW22)"/>
    <x v="95"/>
    <m/>
    <m/>
    <m/>
    <m/>
    <m/>
    <n v="-60"/>
    <m/>
    <m/>
    <m/>
  </r>
  <r>
    <x v="317"/>
    <m/>
    <x v="35"/>
    <m/>
    <s v="Card charge (FACEBK *9TWB2SUV22)"/>
    <x v="95"/>
    <m/>
    <m/>
    <m/>
    <m/>
    <m/>
    <n v="-60"/>
    <m/>
    <m/>
    <m/>
  </r>
  <r>
    <x v="317"/>
    <m/>
    <x v="35"/>
    <m/>
    <s v="Card charge (FACEBK *AWKFYQYV22)"/>
    <x v="95"/>
    <m/>
    <m/>
    <m/>
    <m/>
    <m/>
    <n v="-60"/>
    <m/>
    <m/>
    <m/>
  </r>
  <r>
    <x v="317"/>
    <m/>
    <x v="35"/>
    <m/>
    <s v="Card charge (FACEBK *J54BAR4W22)"/>
    <x v="95"/>
    <m/>
    <m/>
    <m/>
    <m/>
    <m/>
    <n v="-60"/>
    <m/>
    <m/>
    <m/>
  </r>
  <r>
    <x v="317"/>
    <s v="SALIDA"/>
    <x v="26"/>
    <s v="VPS PUNTAJE"/>
    <s v="VPS BOTS + API PUNTAJE"/>
    <x v="33"/>
    <m/>
    <m/>
    <m/>
    <m/>
    <m/>
    <n v="-20.45"/>
    <m/>
    <m/>
    <m/>
  </r>
  <r>
    <x v="318"/>
    <m/>
    <x v="35"/>
    <m/>
    <s v="Card charge (FACEBK *JVQBCR4W22)"/>
    <x v="95"/>
    <m/>
    <m/>
    <m/>
    <m/>
    <m/>
    <n v="-60"/>
    <m/>
    <m/>
    <m/>
  </r>
  <r>
    <x v="318"/>
    <m/>
    <x v="35"/>
    <m/>
    <s v="Card charge (FACEBK *UXLLVRCW22)"/>
    <x v="95"/>
    <m/>
    <m/>
    <m/>
    <m/>
    <m/>
    <n v="-60"/>
    <m/>
    <m/>
    <m/>
  </r>
  <r>
    <x v="318"/>
    <m/>
    <x v="35"/>
    <m/>
    <s v="Card charge (FACEBK *W36K6RGW22)"/>
    <x v="95"/>
    <m/>
    <m/>
    <m/>
    <m/>
    <m/>
    <n v="-60"/>
    <m/>
    <m/>
    <m/>
  </r>
  <r>
    <x v="318"/>
    <m/>
    <x v="35"/>
    <m/>
    <s v="Card charge (FACEBK *X87G5SUW22)"/>
    <x v="95"/>
    <m/>
    <m/>
    <m/>
    <m/>
    <m/>
    <n v="-60"/>
    <m/>
    <m/>
    <m/>
  </r>
  <r>
    <x v="318"/>
    <m/>
    <x v="35"/>
    <m/>
    <s v="Card charge (FACEBK *Y8YAYQLW22)"/>
    <x v="95"/>
    <m/>
    <m/>
    <m/>
    <m/>
    <m/>
    <n v="-60"/>
    <m/>
    <m/>
    <m/>
  </r>
  <r>
    <x v="319"/>
    <s v="SALIDA CONTABLE"/>
    <x v="22"/>
    <m/>
    <s v="UTILIDAD A JUN 30"/>
    <x v="172"/>
    <n v="-4659"/>
    <m/>
    <m/>
    <m/>
    <m/>
    <m/>
    <m/>
    <m/>
    <m/>
  </r>
  <r>
    <x v="319"/>
    <m/>
    <x v="22"/>
    <m/>
    <s v="VENTAS JUNIO"/>
    <x v="60"/>
    <m/>
    <n v="2083"/>
    <m/>
    <m/>
    <m/>
    <m/>
    <m/>
    <m/>
    <m/>
  </r>
  <r>
    <x v="319"/>
    <m/>
    <x v="35"/>
    <m/>
    <s v="Card charge (FACEBK *JL29ZRCW22)"/>
    <x v="95"/>
    <m/>
    <m/>
    <m/>
    <m/>
    <m/>
    <n v="-60"/>
    <m/>
    <m/>
    <m/>
  </r>
  <r>
    <x v="319"/>
    <m/>
    <x v="35"/>
    <m/>
    <s v="Card charge (FACEBK *K32WCR4W22)"/>
    <x v="95"/>
    <m/>
    <m/>
    <m/>
    <m/>
    <m/>
    <n v="-60"/>
    <m/>
    <m/>
    <m/>
  </r>
  <r>
    <x v="319"/>
    <m/>
    <x v="35"/>
    <m/>
    <s v="Card charge (FACEBK *QLKA6SUV22)"/>
    <x v="95"/>
    <m/>
    <m/>
    <m/>
    <m/>
    <m/>
    <n v="-60"/>
    <m/>
    <m/>
    <m/>
  </r>
  <r>
    <x v="319"/>
    <m/>
    <x v="35"/>
    <m/>
    <s v="Card charge (FACEBK *VYZG2RLW22)"/>
    <x v="95"/>
    <m/>
    <m/>
    <m/>
    <m/>
    <m/>
    <n v="-60"/>
    <m/>
    <m/>
    <m/>
  </r>
  <r>
    <x v="319"/>
    <m/>
    <x v="37"/>
    <m/>
    <s v="Card charge (FACEBK *DDXJUTCPX2)"/>
    <x v="95"/>
    <m/>
    <m/>
    <m/>
    <m/>
    <m/>
    <n v="-7.92"/>
    <m/>
    <m/>
    <m/>
  </r>
  <r>
    <x v="319"/>
    <m/>
    <x v="35"/>
    <m/>
    <s v="VENTAS JUNIO"/>
    <x v="60"/>
    <m/>
    <m/>
    <m/>
    <m/>
    <n v="8351"/>
    <m/>
    <m/>
    <m/>
    <m/>
  </r>
  <r>
    <x v="319"/>
    <s v="INGRESO"/>
    <x v="26"/>
    <m/>
    <s v="VENTAS L7"/>
    <x v="19"/>
    <m/>
    <n v="7184"/>
    <m/>
    <m/>
    <m/>
    <m/>
    <m/>
    <m/>
    <m/>
  </r>
  <r>
    <x v="319"/>
    <s v="INGRESO"/>
    <x v="26"/>
    <m/>
    <s v="VENTAS JUNIO"/>
    <x v="60"/>
    <m/>
    <m/>
    <m/>
    <m/>
    <n v="17739"/>
    <m/>
    <m/>
    <m/>
    <m/>
  </r>
  <r>
    <x v="319"/>
    <s v="INGRESO CONTABLE"/>
    <x v="28"/>
    <m/>
    <s v="[ADRIANA] UTILIDAD A JUN 30"/>
    <x v="173"/>
    <n v="4659"/>
    <n v="0"/>
    <n v="0"/>
    <n v="0"/>
    <n v="0"/>
    <n v="0"/>
    <n v="0"/>
    <n v="0"/>
    <n v="0"/>
  </r>
  <r>
    <x v="320"/>
    <m/>
    <x v="35"/>
    <m/>
    <s v="Card charge (FACEBK *3H786RYV22)"/>
    <x v="95"/>
    <m/>
    <m/>
    <m/>
    <m/>
    <m/>
    <n v="-60"/>
    <m/>
    <m/>
    <m/>
  </r>
  <r>
    <x v="320"/>
    <m/>
    <x v="35"/>
    <m/>
    <s v="Card charge (FACEBK *9GXM6RYV22)"/>
    <x v="95"/>
    <m/>
    <m/>
    <m/>
    <m/>
    <m/>
    <n v="-60"/>
    <m/>
    <m/>
    <m/>
  </r>
  <r>
    <x v="320"/>
    <m/>
    <x v="35"/>
    <m/>
    <s v="Card charge (FACEBK *SR98TR8W22)"/>
    <x v="95"/>
    <m/>
    <m/>
    <m/>
    <m/>
    <m/>
    <n v="-60"/>
    <m/>
    <m/>
    <m/>
  </r>
  <r>
    <x v="320"/>
    <m/>
    <x v="35"/>
    <m/>
    <s v="Card charge (FACEBK *V5X6VR8W22)"/>
    <x v="95"/>
    <m/>
    <m/>
    <m/>
    <m/>
    <m/>
    <n v="-60"/>
    <m/>
    <m/>
    <m/>
  </r>
  <r>
    <x v="320"/>
    <s v="SALIDA"/>
    <x v="26"/>
    <m/>
    <s v="Card charge (ASAAS*DEVZAPP LTDA)"/>
    <x v="80"/>
    <m/>
    <m/>
    <m/>
    <m/>
    <m/>
    <n v="-27.87"/>
    <m/>
    <m/>
    <m/>
  </r>
  <r>
    <x v="320"/>
    <s v="SALIDA CONTABLE"/>
    <x v="28"/>
    <m/>
    <s v="NOMINA JULIO"/>
    <x v="165"/>
    <n v="-2872"/>
    <n v="0"/>
    <n v="0"/>
    <n v="0"/>
    <n v="0"/>
    <n v="0"/>
    <n v="0"/>
    <n v="0"/>
    <n v="0"/>
  </r>
  <r>
    <x v="320"/>
    <s v="INGRESO CONTABLE"/>
    <x v="2"/>
    <m/>
    <s v="TRASLADO DESDE FONDO LIBRE"/>
    <x v="165"/>
    <n v="2872"/>
    <n v="0"/>
    <n v="0"/>
    <n v="0"/>
    <n v="0"/>
    <n v="0"/>
    <n v="0"/>
    <n v="0"/>
    <n v="0"/>
  </r>
  <r>
    <x v="320"/>
    <s v="SALIDA"/>
    <x v="2"/>
    <m/>
    <s v="NOMINA JULIO"/>
    <x v="141"/>
    <m/>
    <m/>
    <m/>
    <m/>
    <m/>
    <n v="-2872"/>
    <m/>
    <m/>
    <m/>
  </r>
  <r>
    <x v="321"/>
    <m/>
    <x v="35"/>
    <m/>
    <s v="Card charge (FACEBK *WC5W9SQW22)"/>
    <x v="95"/>
    <m/>
    <m/>
    <m/>
    <m/>
    <m/>
    <n v="-60"/>
    <m/>
    <m/>
    <m/>
  </r>
  <r>
    <x v="321"/>
    <m/>
    <x v="35"/>
    <m/>
    <s v="Card charge (FACEBK *Z7FA8RYV22)"/>
    <x v="95"/>
    <m/>
    <m/>
    <m/>
    <m/>
    <m/>
    <n v="-60"/>
    <m/>
    <m/>
    <m/>
  </r>
  <r>
    <x v="321"/>
    <s v="INGRESO"/>
    <x v="26"/>
    <m/>
    <s v="Payment from Gersson Lopez"/>
    <x v="63"/>
    <m/>
    <m/>
    <m/>
    <m/>
    <m/>
    <n v="8907"/>
    <m/>
    <m/>
    <m/>
  </r>
  <r>
    <x v="322"/>
    <m/>
    <x v="35"/>
    <m/>
    <s v="Card charge (FACEBK *KRWGDSUW22)"/>
    <x v="95"/>
    <m/>
    <m/>
    <m/>
    <m/>
    <m/>
    <n v="-60"/>
    <m/>
    <m/>
    <m/>
  </r>
  <r>
    <x v="322"/>
    <s v="SALIDA"/>
    <x v="26"/>
    <m/>
    <s v="Payment to Bancolombia (5406)"/>
    <x v="63"/>
    <m/>
    <m/>
    <m/>
    <m/>
    <m/>
    <n v="-7415.73"/>
    <m/>
    <m/>
    <m/>
  </r>
  <r>
    <x v="322"/>
    <m/>
    <x v="2"/>
    <m/>
    <s v="Payment to Bancolombia (5406)"/>
    <x v="174"/>
    <m/>
    <m/>
    <m/>
    <m/>
    <m/>
    <n v="-1259.81"/>
    <m/>
    <m/>
    <m/>
  </r>
  <r>
    <x v="323"/>
    <m/>
    <x v="35"/>
    <m/>
    <s v="Card charge (FACEBK *5VQ2PR4W22)"/>
    <x v="95"/>
    <m/>
    <m/>
    <m/>
    <m/>
    <m/>
    <n v="-60"/>
    <m/>
    <m/>
    <m/>
  </r>
  <r>
    <x v="323"/>
    <m/>
    <x v="35"/>
    <m/>
    <s v="Card charge (FACEBK *BHGHLR4W22)"/>
    <x v="95"/>
    <m/>
    <m/>
    <m/>
    <m/>
    <m/>
    <n v="-60"/>
    <m/>
    <m/>
    <m/>
  </r>
  <r>
    <x v="323"/>
    <m/>
    <x v="35"/>
    <m/>
    <s v="Card charge (FACEBK *DBAJCRYV22)"/>
    <x v="95"/>
    <m/>
    <m/>
    <m/>
    <m/>
    <m/>
    <n v="-60"/>
    <m/>
    <m/>
    <m/>
  </r>
  <r>
    <x v="323"/>
    <m/>
    <x v="35"/>
    <m/>
    <s v="Card charge (FACEBK *GPX5QR4W22)"/>
    <x v="95"/>
    <m/>
    <m/>
    <m/>
    <m/>
    <m/>
    <n v="-60"/>
    <m/>
    <m/>
    <m/>
  </r>
  <r>
    <x v="323"/>
    <m/>
    <x v="35"/>
    <m/>
    <s v="Card charge (FACEBK *H5HVGSQW22)"/>
    <x v="95"/>
    <m/>
    <m/>
    <m/>
    <m/>
    <m/>
    <n v="-60"/>
    <m/>
    <m/>
    <m/>
  </r>
  <r>
    <x v="323"/>
    <m/>
    <x v="35"/>
    <m/>
    <s v="Card charge (FACEBK *J2JNFRGW22)"/>
    <x v="95"/>
    <m/>
    <m/>
    <m/>
    <m/>
    <m/>
    <n v="-60"/>
    <m/>
    <m/>
    <m/>
  </r>
  <r>
    <x v="323"/>
    <m/>
    <x v="2"/>
    <m/>
    <s v="Card charge (READ - MEETING MANAGER)"/>
    <x v="175"/>
    <m/>
    <m/>
    <m/>
    <m/>
    <m/>
    <n v="-180"/>
    <m/>
    <m/>
    <m/>
  </r>
  <r>
    <x v="323"/>
    <m/>
    <x v="35"/>
    <m/>
    <s v="Card charge (FACEBK *J7TZ9RLW22)"/>
    <x v="95"/>
    <m/>
    <m/>
    <m/>
    <m/>
    <m/>
    <n v="-60"/>
    <m/>
    <m/>
    <m/>
  </r>
  <r>
    <x v="323"/>
    <m/>
    <x v="35"/>
    <m/>
    <s v="Card charge (FACEBK *NJHAASCW22)"/>
    <x v="95"/>
    <m/>
    <m/>
    <m/>
    <m/>
    <m/>
    <n v="-60"/>
    <m/>
    <m/>
    <m/>
  </r>
  <r>
    <x v="323"/>
    <m/>
    <x v="35"/>
    <m/>
    <s v="Card charge (FACEBK *NXRFFRYV22)"/>
    <x v="95"/>
    <m/>
    <m/>
    <m/>
    <m/>
    <m/>
    <n v="-60"/>
    <m/>
    <m/>
    <m/>
  </r>
  <r>
    <x v="323"/>
    <m/>
    <x v="35"/>
    <m/>
    <s v="Card charge (FACEBK *YBG7BRLW22)"/>
    <x v="95"/>
    <m/>
    <m/>
    <m/>
    <m/>
    <m/>
    <n v="-60"/>
    <m/>
    <m/>
    <m/>
  </r>
  <r>
    <x v="323"/>
    <m/>
    <x v="2"/>
    <m/>
    <s v="Card charge (CLAUDE.AI SUBSCRIPTION)"/>
    <x v="176"/>
    <m/>
    <m/>
    <m/>
    <m/>
    <m/>
    <n v="-20"/>
    <m/>
    <m/>
    <m/>
  </r>
  <r>
    <x v="323"/>
    <m/>
    <x v="2"/>
    <s v="SERVIDOR CUENTAS"/>
    <s v="VPS PLATAFORMA CUENTAS"/>
    <x v="33"/>
    <m/>
    <m/>
    <m/>
    <m/>
    <m/>
    <n v="-13.02"/>
    <m/>
    <m/>
    <m/>
  </r>
  <r>
    <x v="323"/>
    <m/>
    <x v="2"/>
    <m/>
    <s v="Card charge (CURSOR USAGE  JUN)"/>
    <x v="161"/>
    <m/>
    <m/>
    <m/>
    <m/>
    <m/>
    <n v="-3.27"/>
    <m/>
    <m/>
    <m/>
  </r>
  <r>
    <x v="324"/>
    <m/>
    <x v="35"/>
    <m/>
    <s v="Card charge (FACEBK *4ZL2NRGW22)"/>
    <x v="95"/>
    <m/>
    <m/>
    <m/>
    <m/>
    <m/>
    <n v="-60"/>
    <m/>
    <m/>
    <m/>
  </r>
  <r>
    <x v="324"/>
    <m/>
    <x v="35"/>
    <m/>
    <s v="Card charge (FACEBK *5TRG6S8W22)"/>
    <x v="95"/>
    <m/>
    <m/>
    <m/>
    <m/>
    <m/>
    <n v="-60"/>
    <m/>
    <m/>
    <m/>
  </r>
  <r>
    <x v="324"/>
    <m/>
    <x v="35"/>
    <m/>
    <s v="Card charge (FACEBK *UDHE8S8W22)"/>
    <x v="95"/>
    <m/>
    <m/>
    <m/>
    <m/>
    <m/>
    <n v="-60"/>
    <m/>
    <m/>
    <m/>
  </r>
  <r>
    <x v="324"/>
    <m/>
    <x v="2"/>
    <s v="HOSTING"/>
    <s v="HOSTING WEB AGENCIA"/>
    <x v="33"/>
    <m/>
    <m/>
    <m/>
    <m/>
    <m/>
    <n v="-14.29"/>
    <m/>
    <m/>
    <m/>
  </r>
  <r>
    <x v="325"/>
    <m/>
    <x v="35"/>
    <m/>
    <s v="Card charge (FACEBK *SR5WKRYV22)"/>
    <x v="95"/>
    <m/>
    <m/>
    <m/>
    <m/>
    <m/>
    <n v="-60"/>
    <m/>
    <m/>
    <m/>
  </r>
  <r>
    <x v="325"/>
    <m/>
    <x v="37"/>
    <m/>
    <s v="Card charge (FLODESK.COM)"/>
    <x v="90"/>
    <m/>
    <m/>
    <m/>
    <m/>
    <m/>
    <n v="-38"/>
    <m/>
    <m/>
    <m/>
  </r>
  <r>
    <x v="326"/>
    <m/>
    <x v="35"/>
    <m/>
    <s v="Card charge (FACEBK *3SHENRYV22)"/>
    <x v="95"/>
    <m/>
    <m/>
    <m/>
    <m/>
    <m/>
    <n v="-60"/>
    <m/>
    <m/>
    <m/>
  </r>
  <r>
    <x v="326"/>
    <m/>
    <x v="35"/>
    <m/>
    <s v="Card charge (FACEBK *57TUMSQW22)"/>
    <x v="95"/>
    <m/>
    <m/>
    <m/>
    <m/>
    <m/>
    <n v="-60"/>
    <m/>
    <m/>
    <m/>
  </r>
  <r>
    <x v="326"/>
    <m/>
    <x v="33"/>
    <m/>
    <s v="Payment from Hotmart"/>
    <x v="152"/>
    <m/>
    <m/>
    <m/>
    <m/>
    <n v="-9594.1200000000008"/>
    <n v="9594.1200000000008"/>
    <m/>
    <m/>
    <m/>
  </r>
  <r>
    <x v="326"/>
    <m/>
    <x v="2"/>
    <s v="VPS N8N"/>
    <s v="VPS N8N AGENCIA"/>
    <x v="33"/>
    <m/>
    <m/>
    <m/>
    <m/>
    <m/>
    <n v="-15.08"/>
    <m/>
    <m/>
    <m/>
  </r>
  <r>
    <x v="327"/>
    <m/>
    <x v="35"/>
    <m/>
    <s v="Card charge (FACEBK *DTC9NRLW22)"/>
    <x v="95"/>
    <m/>
    <m/>
    <m/>
    <m/>
    <m/>
    <n v="-60"/>
    <m/>
    <m/>
    <m/>
  </r>
  <r>
    <x v="327"/>
    <m/>
    <x v="35"/>
    <m/>
    <s v="Card charge (FACEBK *W264PRLW22)"/>
    <x v="95"/>
    <m/>
    <m/>
    <m/>
    <m/>
    <m/>
    <n v="-60"/>
    <m/>
    <m/>
    <m/>
  </r>
  <r>
    <x v="327"/>
    <m/>
    <x v="37"/>
    <s v="HOSTING"/>
    <s v="VPS HOSTING GERSSON"/>
    <x v="33"/>
    <m/>
    <m/>
    <m/>
    <m/>
    <m/>
    <n v="-61.99"/>
    <m/>
    <m/>
    <m/>
  </r>
  <r>
    <x v="328"/>
    <m/>
    <x v="35"/>
    <m/>
    <s v="Card charge (FACEBK *KD52TRYV22)"/>
    <x v="95"/>
    <m/>
    <m/>
    <m/>
    <m/>
    <m/>
    <n v="-60"/>
    <m/>
    <m/>
    <m/>
  </r>
  <r>
    <x v="328"/>
    <m/>
    <x v="35"/>
    <m/>
    <s v="Card charge (FACEBK *QXAZVSUW22)"/>
    <x v="95"/>
    <m/>
    <m/>
    <m/>
    <m/>
    <m/>
    <n v="-60"/>
    <m/>
    <m/>
    <m/>
  </r>
  <r>
    <x v="329"/>
    <m/>
    <x v="35"/>
    <m/>
    <s v="Card charge (FACEBK *EHCDWSUV22)"/>
    <x v="95"/>
    <m/>
    <m/>
    <m/>
    <m/>
    <m/>
    <n v="-60"/>
    <m/>
    <m/>
    <m/>
  </r>
  <r>
    <x v="330"/>
    <m/>
    <x v="35"/>
    <m/>
    <s v="Card charge (FACEBK *APP87S4W22)"/>
    <x v="95"/>
    <m/>
    <m/>
    <m/>
    <m/>
    <m/>
    <n v="-60"/>
    <m/>
    <m/>
    <m/>
  </r>
  <r>
    <x v="330"/>
    <m/>
    <x v="35"/>
    <m/>
    <s v="Card charge (FACEBK *C5MF3SGW22)"/>
    <x v="95"/>
    <m/>
    <m/>
    <m/>
    <m/>
    <m/>
    <n v="-60"/>
    <m/>
    <m/>
    <m/>
  </r>
  <r>
    <x v="330"/>
    <m/>
    <x v="35"/>
    <m/>
    <s v="Card charge (FACEBK *K22B4SGW22)"/>
    <x v="95"/>
    <m/>
    <m/>
    <m/>
    <m/>
    <m/>
    <n v="-60"/>
    <m/>
    <m/>
    <m/>
  </r>
  <r>
    <x v="331"/>
    <m/>
    <x v="35"/>
    <m/>
    <s v="Card charge (FACEBK *KQRJXRLW22)"/>
    <x v="95"/>
    <m/>
    <m/>
    <m/>
    <m/>
    <m/>
    <n v="-60"/>
    <m/>
    <m/>
    <m/>
  </r>
  <r>
    <x v="331"/>
    <m/>
    <x v="37"/>
    <s v="VPS N8N"/>
    <s v="VPS N8N GERSSON"/>
    <x v="33"/>
    <m/>
    <m/>
    <m/>
    <m/>
    <m/>
    <n v="-18.03"/>
    <m/>
    <m/>
    <m/>
  </r>
  <r>
    <x v="332"/>
    <m/>
    <x v="35"/>
    <m/>
    <s v="Card charge (FACEBK *VF6TDS4W22)"/>
    <x v="95"/>
    <m/>
    <m/>
    <m/>
    <m/>
    <m/>
    <n v="-60"/>
    <m/>
    <m/>
    <m/>
  </r>
  <r>
    <x v="332"/>
    <m/>
    <x v="35"/>
    <m/>
    <s v="Card charge (FACEBK *W7BBCS4W22)"/>
    <x v="95"/>
    <m/>
    <m/>
    <m/>
    <m/>
    <m/>
    <n v="-60"/>
    <m/>
    <m/>
    <m/>
  </r>
  <r>
    <x v="333"/>
    <s v="SALIDA CONTABLE"/>
    <x v="20"/>
    <m/>
    <s v="UTILIDADES A 15 JULIO"/>
    <x v="177"/>
    <n v="-2245"/>
    <m/>
    <m/>
    <m/>
    <m/>
    <m/>
    <m/>
    <m/>
    <m/>
  </r>
  <r>
    <x v="333"/>
    <s v="INGRESO CONTABLE"/>
    <x v="28"/>
    <m/>
    <s v="UTILIDADES A 15 JULIO"/>
    <x v="177"/>
    <n v="2245"/>
    <n v="0"/>
    <n v="0"/>
    <n v="0"/>
    <n v="0"/>
    <n v="0"/>
    <n v="0"/>
    <n v="0"/>
    <n v="0"/>
  </r>
  <r>
    <x v="333"/>
    <m/>
    <x v="35"/>
    <m/>
    <s v="Card charge (FACEBK *4VGY7TUV22)"/>
    <x v="95"/>
    <m/>
    <m/>
    <m/>
    <m/>
    <m/>
    <n v="-60"/>
    <m/>
    <m/>
    <m/>
  </r>
  <r>
    <x v="333"/>
    <m/>
    <x v="35"/>
    <m/>
    <s v="Card charge (FACEBK *CJBG6SYV22)"/>
    <x v="95"/>
    <m/>
    <m/>
    <m/>
    <m/>
    <m/>
    <n v="-60"/>
    <m/>
    <m/>
    <m/>
  </r>
  <r>
    <x v="333"/>
    <m/>
    <x v="2"/>
    <m/>
    <s v="Card charge (CURSOR USAGE MID  JUL)"/>
    <x v="161"/>
    <m/>
    <m/>
    <m/>
    <m/>
    <m/>
    <n v="-20.100000000000001"/>
    <m/>
    <m/>
    <m/>
  </r>
  <r>
    <x v="333"/>
    <s v="INGRESO"/>
    <x v="26"/>
    <m/>
    <s v="VENTAS DE TODO A 15 DE JULIO"/>
    <x v="60"/>
    <m/>
    <m/>
    <m/>
    <m/>
    <n v="8101"/>
    <m/>
    <m/>
    <m/>
    <m/>
  </r>
  <r>
    <x v="333"/>
    <s v="INGRESO CONTABLE"/>
    <x v="28"/>
    <m/>
    <s v="UTILIDADES A 15 DE JULIO"/>
    <x v="178"/>
    <n v="2596"/>
    <n v="0"/>
    <n v="0"/>
    <n v="0"/>
    <n v="0"/>
    <n v="0"/>
    <n v="0"/>
    <n v="0"/>
    <n v="0"/>
  </r>
  <r>
    <x v="333"/>
    <s v="SALIDA CONTABLE"/>
    <x v="35"/>
    <m/>
    <s v="UTILIDADES A 15 DE JULIO"/>
    <x v="178"/>
    <n v="-2596"/>
    <m/>
    <m/>
    <m/>
    <m/>
    <m/>
    <m/>
    <m/>
    <m/>
  </r>
  <r>
    <x v="333"/>
    <m/>
    <x v="30"/>
    <m/>
    <s v="VENTAS"/>
    <x v="60"/>
    <m/>
    <m/>
    <m/>
    <m/>
    <n v="447"/>
    <m/>
    <m/>
    <m/>
    <m/>
  </r>
  <r>
    <x v="333"/>
    <s v="SALIDA CONTABLE"/>
    <x v="26"/>
    <m/>
    <s v="UTILIDAD TOTAL L7"/>
    <x v="179"/>
    <n v="-50830"/>
    <m/>
    <m/>
    <m/>
    <m/>
    <m/>
    <m/>
    <m/>
    <m/>
  </r>
  <r>
    <x v="333"/>
    <s v="INGRESO CONTABLE"/>
    <x v="28"/>
    <m/>
    <s v="UTILIDADES L7"/>
    <x v="180"/>
    <n v="50830"/>
    <n v="0"/>
    <n v="0"/>
    <n v="0"/>
    <n v="0"/>
    <n v="0"/>
    <n v="0"/>
    <n v="0"/>
    <n v="0"/>
  </r>
  <r>
    <x v="334"/>
    <m/>
    <x v="35"/>
    <m/>
    <s v="Card charge (FACEBK *SLPK9TQW22)"/>
    <x v="95"/>
    <m/>
    <m/>
    <m/>
    <m/>
    <m/>
    <n v="-60"/>
    <m/>
    <m/>
    <m/>
  </r>
  <r>
    <x v="334"/>
    <m/>
    <x v="35"/>
    <m/>
    <s v="Card charge (FACEBK *9F6Q9TUV22)"/>
    <x v="95"/>
    <m/>
    <m/>
    <m/>
    <m/>
    <m/>
    <n v="-48.63"/>
    <m/>
    <m/>
    <m/>
  </r>
  <r>
    <x v="334"/>
    <m/>
    <x v="32"/>
    <m/>
    <s v="PAGO PRESTAMO"/>
    <x v="181"/>
    <m/>
    <m/>
    <m/>
    <m/>
    <m/>
    <n v="2289.3000000000002"/>
    <m/>
    <m/>
    <m/>
  </r>
  <r>
    <x v="334"/>
    <s v="SALIDA"/>
    <x v="28"/>
    <m/>
    <s v="Payment to JUAN CARLOS BARROS ALFARO"/>
    <x v="180"/>
    <m/>
    <n v="-10850"/>
    <m/>
    <m/>
    <m/>
    <n v="-2399"/>
    <m/>
    <m/>
    <m/>
  </r>
  <r>
    <x v="334"/>
    <s v="SALIDA"/>
    <x v="28"/>
    <m/>
    <s v="Payment to Daniel Stiven Garay Martinez"/>
    <x v="180"/>
    <m/>
    <m/>
    <m/>
    <m/>
    <m/>
    <n v="-6470"/>
    <m/>
    <m/>
    <m/>
  </r>
  <r>
    <x v="334"/>
    <s v="SALIDA"/>
    <x v="28"/>
    <m/>
    <s v="pago a santiago ciro"/>
    <x v="180"/>
    <m/>
    <m/>
    <m/>
    <m/>
    <m/>
    <n v="-13249"/>
    <m/>
    <m/>
    <m/>
  </r>
  <r>
    <x v="335"/>
    <m/>
    <x v="35"/>
    <m/>
    <s v="Card charge (FACEBK *6BTHESGW22)"/>
    <x v="95"/>
    <m/>
    <m/>
    <m/>
    <m/>
    <m/>
    <n v="-60"/>
    <m/>
    <m/>
    <m/>
  </r>
  <r>
    <x v="335"/>
    <m/>
    <x v="35"/>
    <m/>
    <s v="Card charge (FACEBK *G5YRETUW22)"/>
    <x v="95"/>
    <m/>
    <m/>
    <m/>
    <m/>
    <m/>
    <n v="-60"/>
    <m/>
    <m/>
    <m/>
  </r>
  <r>
    <x v="336"/>
    <m/>
    <x v="35"/>
    <m/>
    <s v="Consumo con la tarjeta (OPENAI *CHATGPT SUBSCR)"/>
    <x v="35"/>
    <m/>
    <m/>
    <m/>
    <m/>
    <m/>
    <n v="-20"/>
    <m/>
    <m/>
    <m/>
  </r>
  <r>
    <x v="337"/>
    <s v="SALIDA CONTABLE"/>
    <x v="28"/>
    <m/>
    <s v="REPOSICION PERDIDAS/INVERSIONES"/>
    <x v="165"/>
    <n v="-10000"/>
    <n v="0"/>
    <n v="0"/>
    <n v="0"/>
    <n v="0"/>
    <n v="0"/>
    <n v="0"/>
    <n v="0"/>
    <n v="0"/>
  </r>
  <r>
    <x v="337"/>
    <s v="INGRESO CONTABLE"/>
    <x v="2"/>
    <m/>
    <s v="TRASLADO DESDE FONDO LIBRE"/>
    <x v="182"/>
    <n v="10000"/>
    <n v="0"/>
    <n v="0"/>
    <n v="0"/>
    <n v="0"/>
    <n v="0"/>
    <n v="0"/>
    <n v="0"/>
    <n v="0"/>
  </r>
  <r>
    <x v="337"/>
    <s v="SALIDA"/>
    <x v="28"/>
    <m/>
    <s v="PAGO A FRANCISCO"/>
    <x v="180"/>
    <m/>
    <m/>
    <m/>
    <m/>
    <m/>
    <n v="-13249"/>
    <m/>
    <m/>
    <m/>
  </r>
  <r>
    <x v="337"/>
    <s v="SALIDA CONTABLE"/>
    <x v="28"/>
    <m/>
    <s v="REPOSICION PERDIDAS/INVERSIONES"/>
    <x v="165"/>
    <n v="-5000"/>
    <n v="0"/>
    <n v="0"/>
    <n v="0"/>
    <n v="0"/>
    <n v="0"/>
    <n v="0"/>
    <n v="0"/>
    <n v="0"/>
  </r>
  <r>
    <x v="337"/>
    <s v="INGRESO CONTABLE"/>
    <x v="2"/>
    <m/>
    <s v="TRASLADO DESDE FONDO LIBRE"/>
    <x v="182"/>
    <n v="5000"/>
    <n v="0"/>
    <n v="0"/>
    <n v="0"/>
    <n v="0"/>
    <n v="0"/>
    <n v="0"/>
    <n v="0"/>
    <n v="0"/>
  </r>
  <r>
    <x v="337"/>
    <m/>
    <x v="35"/>
    <m/>
    <s v="Card charge (FACEBK *RAFLLSGW22)"/>
    <x v="95"/>
    <m/>
    <m/>
    <m/>
    <m/>
    <m/>
    <n v="-60"/>
    <m/>
    <m/>
    <m/>
  </r>
  <r>
    <x v="337"/>
    <m/>
    <x v="35"/>
    <m/>
    <s v="Card charge (FACEBK *KVPEFSYV22)"/>
    <x v="95"/>
    <m/>
    <m/>
    <m/>
    <m/>
    <m/>
    <n v="-60"/>
    <m/>
    <m/>
    <m/>
  </r>
  <r>
    <x v="337"/>
    <m/>
    <x v="35"/>
    <m/>
    <s v="Card charge (FACEBK *Z36XGSGW22)"/>
    <x v="95"/>
    <m/>
    <m/>
    <m/>
    <m/>
    <m/>
    <n v="-60"/>
    <m/>
    <m/>
    <m/>
  </r>
  <r>
    <x v="337"/>
    <m/>
    <x v="35"/>
    <m/>
    <s v="Card charge (FACEBK *AU5VFTUV22)"/>
    <x v="95"/>
    <m/>
    <m/>
    <m/>
    <m/>
    <m/>
    <n v="-60"/>
    <m/>
    <m/>
    <m/>
  </r>
  <r>
    <x v="338"/>
    <m/>
    <x v="35"/>
    <m/>
    <s v="Card charge (FACEBK *BZBTHSYV22)"/>
    <x v="95"/>
    <m/>
    <m/>
    <m/>
    <m/>
    <m/>
    <n v="-60"/>
    <m/>
    <m/>
    <m/>
  </r>
  <r>
    <x v="338"/>
    <m/>
    <x v="2"/>
    <m/>
    <s v="Card charge (DLOCAL)"/>
    <x v="33"/>
    <m/>
    <m/>
    <m/>
    <m/>
    <m/>
    <n v="-29.41"/>
    <m/>
    <m/>
    <m/>
  </r>
  <r>
    <x v="338"/>
    <m/>
    <x v="2"/>
    <m/>
    <s v="Card charge (GRAL WEB EBANX COMPRA)"/>
    <x v="33"/>
    <m/>
    <m/>
    <m/>
    <m/>
    <m/>
    <n v="-8.2200000000000006"/>
    <m/>
    <m/>
    <m/>
  </r>
  <r>
    <x v="339"/>
    <m/>
    <x v="35"/>
    <m/>
    <s v="Card charge (FACEBK *ATG3GTCW22)"/>
    <x v="95"/>
    <m/>
    <m/>
    <m/>
    <m/>
    <m/>
    <n v="-60"/>
    <m/>
    <m/>
    <m/>
  </r>
  <r>
    <x v="340"/>
    <m/>
    <x v="35"/>
    <m/>
    <s v="Card charge (FACEBK *5UC9BT8W22)"/>
    <x v="95"/>
    <m/>
    <m/>
    <m/>
    <m/>
    <m/>
    <n v="-60"/>
    <m/>
    <m/>
    <m/>
  </r>
  <r>
    <x v="341"/>
    <m/>
    <x v="35"/>
    <m/>
    <s v="Card charge (FACEBK *AU46RSYV22)"/>
    <x v="95"/>
    <m/>
    <m/>
    <m/>
    <m/>
    <m/>
    <n v="-60"/>
    <m/>
    <m/>
    <m/>
  </r>
  <r>
    <x v="341"/>
    <m/>
    <x v="35"/>
    <m/>
    <s v="Card charge (FACEBK *TK6NSTUW22)"/>
    <x v="95"/>
    <m/>
    <m/>
    <m/>
    <m/>
    <m/>
    <n v="-60"/>
    <m/>
    <m/>
    <m/>
  </r>
  <r>
    <x v="341"/>
    <m/>
    <x v="2"/>
    <m/>
    <s v="Card charge (GREATAPPS)"/>
    <x v="143"/>
    <m/>
    <m/>
    <m/>
    <m/>
    <m/>
    <n v="-50.31"/>
    <m/>
    <m/>
    <m/>
  </r>
  <r>
    <x v="342"/>
    <m/>
    <x v="35"/>
    <m/>
    <s v="Card charge (FACEBK *FU6LWTUW22)"/>
    <x v="95"/>
    <m/>
    <m/>
    <m/>
    <m/>
    <m/>
    <n v="-60"/>
    <m/>
    <m/>
    <m/>
  </r>
  <r>
    <x v="342"/>
    <m/>
    <x v="37"/>
    <m/>
    <s v="Card charge (MANYCHAT.COM)"/>
    <x v="81"/>
    <m/>
    <m/>
    <m/>
    <m/>
    <m/>
    <n v="-100"/>
    <m/>
    <m/>
    <m/>
  </r>
  <r>
    <x v="342"/>
    <m/>
    <x v="37"/>
    <m/>
    <s v="Card charge (MANYCHAT.COM)"/>
    <x v="81"/>
    <m/>
    <m/>
    <m/>
    <m/>
    <m/>
    <n v="-0.66"/>
    <m/>
    <m/>
    <m/>
  </r>
  <r>
    <x v="343"/>
    <m/>
    <x v="35"/>
    <m/>
    <s v="Card charge (FACEBK *WPMRZTUV22)"/>
    <x v="95"/>
    <m/>
    <m/>
    <m/>
    <m/>
    <m/>
    <n v="-60"/>
    <m/>
    <m/>
    <m/>
  </r>
  <r>
    <x v="343"/>
    <m/>
    <x v="35"/>
    <m/>
    <s v="Card charge (FACEBK *KSDS9T4W22)"/>
    <x v="95"/>
    <m/>
    <m/>
    <m/>
    <m/>
    <m/>
    <n v="-60"/>
    <m/>
    <m/>
    <m/>
  </r>
  <r>
    <x v="343"/>
    <m/>
    <x v="35"/>
    <m/>
    <s v="Card charge (FACEBK *QRURZTUW22)"/>
    <x v="95"/>
    <m/>
    <m/>
    <m/>
    <m/>
    <m/>
    <n v="-60"/>
    <m/>
    <m/>
    <m/>
  </r>
  <r>
    <x v="343"/>
    <m/>
    <x v="35"/>
    <m/>
    <s v="Card charge (FACEBK *5HQ27T4W22)"/>
    <x v="95"/>
    <m/>
    <m/>
    <m/>
    <m/>
    <m/>
    <n v="-60"/>
    <m/>
    <m/>
    <m/>
  </r>
  <r>
    <x v="343"/>
    <m/>
    <x v="37"/>
    <m/>
    <s v="Card charge (FACEBK *D6YEQUGPX2)"/>
    <x v="95"/>
    <m/>
    <m/>
    <m/>
    <m/>
    <m/>
    <n v="-900"/>
    <m/>
    <m/>
    <m/>
  </r>
  <r>
    <x v="343"/>
    <m/>
    <x v="2"/>
    <m/>
    <s v="Card charge (CURSOR, AI POWERED IDE)"/>
    <x v="161"/>
    <m/>
    <m/>
    <m/>
    <m/>
    <m/>
    <n v="-20"/>
    <m/>
    <m/>
    <m/>
  </r>
  <r>
    <x v="344"/>
    <m/>
    <x v="35"/>
    <m/>
    <s v="Card charge (FACEBK *76GVPT8W22)"/>
    <x v="95"/>
    <m/>
    <m/>
    <m/>
    <m/>
    <m/>
    <n v="-60"/>
    <m/>
    <m/>
    <m/>
  </r>
  <r>
    <x v="344"/>
    <m/>
    <x v="35"/>
    <m/>
    <s v="Card charge (FACEBK *2FQU3UUV22)"/>
    <x v="95"/>
    <m/>
    <m/>
    <m/>
    <m/>
    <m/>
    <n v="-60"/>
    <m/>
    <m/>
    <m/>
  </r>
  <r>
    <x v="345"/>
    <m/>
    <x v="35"/>
    <m/>
    <s v="Card charge (FACEBK *7ZM9YTCW22)"/>
    <x v="95"/>
    <m/>
    <m/>
    <m/>
    <m/>
    <m/>
    <n v="-60"/>
    <m/>
    <m/>
    <m/>
  </r>
  <r>
    <x v="345"/>
    <m/>
    <x v="37"/>
    <s v="VPS PUNTAJE"/>
    <s v="Card charge (HOSTINGER* HOSTINGER.C)"/>
    <x v="33"/>
    <m/>
    <m/>
    <m/>
    <m/>
    <m/>
    <n v="-20.350000000000001"/>
    <m/>
    <m/>
    <m/>
  </r>
  <r>
    <x v="346"/>
    <m/>
    <x v="35"/>
    <m/>
    <s v="Card charge (FACEBK *TWZDAUUW22)"/>
    <x v="95"/>
    <m/>
    <m/>
    <m/>
    <m/>
    <m/>
    <n v="-60"/>
    <m/>
    <m/>
    <m/>
  </r>
  <r>
    <x v="346"/>
    <m/>
    <x v="35"/>
    <m/>
    <s v="Card charge (FACEBK *984M9TGW22)"/>
    <x v="95"/>
    <m/>
    <m/>
    <m/>
    <m/>
    <m/>
    <n v="-60"/>
    <m/>
    <m/>
    <m/>
  </r>
  <r>
    <x v="346"/>
    <m/>
    <x v="2"/>
    <m/>
    <s v="Card charge (GRAL WEB EBANX COMPRA)"/>
    <x v="33"/>
    <m/>
    <m/>
    <m/>
    <m/>
    <m/>
    <n v="-8.0299999999999994"/>
    <m/>
    <m/>
    <m/>
  </r>
  <r>
    <x v="347"/>
    <m/>
    <x v="35"/>
    <m/>
    <s v="VENTAS JUL"/>
    <x v="60"/>
    <m/>
    <m/>
    <m/>
    <m/>
    <n v="5244"/>
    <m/>
    <m/>
    <m/>
    <m/>
  </r>
  <r>
    <x v="347"/>
    <m/>
    <x v="35"/>
    <m/>
    <s v="Card charge (FACEBK *XRB8AUQW22)"/>
    <x v="95"/>
    <m/>
    <m/>
    <m/>
    <m/>
    <m/>
    <n v="-60"/>
    <m/>
    <m/>
    <m/>
  </r>
  <r>
    <x v="347"/>
    <m/>
    <x v="35"/>
    <m/>
    <s v="Card charge (FACEBK *QJF7WT8W22)"/>
    <x v="95"/>
    <m/>
    <m/>
    <m/>
    <m/>
    <m/>
    <n v="-60"/>
    <m/>
    <m/>
    <m/>
  </r>
  <r>
    <x v="347"/>
    <m/>
    <x v="22"/>
    <m/>
    <s v="VENTAS JULIO"/>
    <x v="60"/>
    <m/>
    <n v="656"/>
    <m/>
    <m/>
    <m/>
    <m/>
    <m/>
    <m/>
    <m/>
  </r>
  <r>
    <x v="348"/>
    <m/>
    <x v="35"/>
    <m/>
    <s v="Card charge (FACEBK *552HFTGW22)"/>
    <x v="95"/>
    <m/>
    <m/>
    <m/>
    <m/>
    <m/>
    <n v="-60"/>
    <m/>
    <m/>
    <m/>
  </r>
  <r>
    <x v="348"/>
    <m/>
    <x v="37"/>
    <m/>
    <s v="Card charge (FACEBK *VMAN6W4PX2)"/>
    <x v="95"/>
    <m/>
    <m/>
    <m/>
    <m/>
    <m/>
    <n v="-141.9"/>
    <m/>
    <m/>
    <m/>
  </r>
  <r>
    <x v="349"/>
    <m/>
    <x v="35"/>
    <m/>
    <s v="Card charge (FACEBK *M9JKGTGW22)"/>
    <x v="95"/>
    <m/>
    <m/>
    <m/>
    <m/>
    <m/>
    <n v="-60"/>
    <m/>
    <m/>
    <m/>
  </r>
  <r>
    <x v="349"/>
    <m/>
    <x v="37"/>
    <m/>
    <s v="Card charge (STAPE, INC.)"/>
    <x v="75"/>
    <m/>
    <m/>
    <m/>
    <m/>
    <m/>
    <n v="-20"/>
    <m/>
    <m/>
    <m/>
  </r>
  <r>
    <x v="349"/>
    <m/>
    <x v="37"/>
    <m/>
    <s v="Card charge (STREAMYARD.COM)"/>
    <x v="168"/>
    <m/>
    <m/>
    <m/>
    <m/>
    <m/>
    <n v="-44.99"/>
    <m/>
    <m/>
    <m/>
  </r>
  <r>
    <x v="350"/>
    <m/>
    <x v="35"/>
    <m/>
    <s v="Card charge (FACEBK *49ENFUQW22)"/>
    <x v="95"/>
    <m/>
    <m/>
    <m/>
    <m/>
    <m/>
    <n v="-60"/>
    <m/>
    <m/>
    <m/>
  </r>
  <r>
    <x v="350"/>
    <m/>
    <x v="35"/>
    <m/>
    <s v="Card charge (FACEBK *M7VVEUQW22)"/>
    <x v="95"/>
    <m/>
    <m/>
    <m/>
    <m/>
    <m/>
    <n v="-60"/>
    <m/>
    <m/>
    <m/>
  </r>
  <r>
    <x v="350"/>
    <m/>
    <x v="35"/>
    <m/>
    <s v="Card charge (FACEBK *Q78KGUUW22)"/>
    <x v="95"/>
    <m/>
    <m/>
    <m/>
    <m/>
    <m/>
    <n v="-60"/>
    <m/>
    <m/>
    <m/>
  </r>
  <r>
    <x v="350"/>
    <m/>
    <x v="35"/>
    <m/>
    <s v="Card charge (FACEBK *GFY83U8W22)"/>
    <x v="95"/>
    <m/>
    <m/>
    <m/>
    <m/>
    <m/>
    <n v="-60"/>
    <m/>
    <m/>
    <m/>
  </r>
  <r>
    <x v="351"/>
    <m/>
    <x v="35"/>
    <m/>
    <s v="Card charge (FACEBK *P3JLLUUV22)"/>
    <x v="95"/>
    <m/>
    <m/>
    <m/>
    <m/>
    <m/>
    <n v="-60"/>
    <m/>
    <m/>
    <m/>
  </r>
  <r>
    <x v="351"/>
    <m/>
    <x v="35"/>
    <m/>
    <s v="Card charge (FACEBK *D5NSCUCW22)"/>
    <x v="95"/>
    <m/>
    <m/>
    <m/>
    <m/>
    <m/>
    <n v="-60"/>
    <m/>
    <m/>
    <m/>
  </r>
  <r>
    <x v="351"/>
    <m/>
    <x v="35"/>
    <m/>
    <s v="Card charge (FACEBK *CK3XFTYV22)"/>
    <x v="95"/>
    <m/>
    <m/>
    <m/>
    <m/>
    <m/>
    <n v="-60"/>
    <m/>
    <m/>
    <m/>
  </r>
  <r>
    <x v="351"/>
    <m/>
    <x v="2"/>
    <s v="SERVIDOR CUENTAS"/>
    <s v="Card charge (HOSTINGER* HOSTINGER.C)"/>
    <x v="33"/>
    <m/>
    <m/>
    <m/>
    <m/>
    <m/>
    <n v="-12.59"/>
    <m/>
    <m/>
    <m/>
  </r>
  <r>
    <x v="352"/>
    <m/>
    <x v="35"/>
    <m/>
    <s v="Card charge (FACEBK *5D2AJTLW22)"/>
    <x v="95"/>
    <m/>
    <m/>
    <m/>
    <m/>
    <m/>
    <n v="-60"/>
    <m/>
    <m/>
    <m/>
  </r>
  <r>
    <x v="352"/>
    <m/>
    <x v="35"/>
    <m/>
    <s v="Card charge (FACEBK *97S48U8W22)"/>
    <x v="95"/>
    <m/>
    <m/>
    <m/>
    <m/>
    <m/>
    <n v="-60"/>
    <m/>
    <m/>
    <m/>
  </r>
  <r>
    <x v="352"/>
    <m/>
    <x v="35"/>
    <m/>
    <s v="Card charge (FACEBK *7G3P8U8W22)"/>
    <x v="95"/>
    <m/>
    <m/>
    <m/>
    <m/>
    <m/>
    <n v="-60"/>
    <m/>
    <m/>
    <m/>
  </r>
  <r>
    <x v="352"/>
    <m/>
    <x v="2"/>
    <m/>
    <s v="Card charge (BOLT (BY STACKBLITZ))"/>
    <x v="149"/>
    <m/>
    <m/>
    <m/>
    <m/>
    <m/>
    <n v="-20"/>
    <m/>
    <m/>
    <m/>
  </r>
  <r>
    <x v="352"/>
    <m/>
    <x v="2"/>
    <m/>
    <s v="Card charge (CLAUDE.AI SUBSCRIPTION)"/>
    <x v="176"/>
    <m/>
    <m/>
    <m/>
    <m/>
    <m/>
    <n v="-20"/>
    <m/>
    <m/>
    <m/>
  </r>
  <r>
    <x v="352"/>
    <m/>
    <x v="2"/>
    <s v="DRIVE "/>
    <s v="Card charge (GOOGLE *Google One)"/>
    <x v="183"/>
    <m/>
    <m/>
    <m/>
    <m/>
    <m/>
    <n v="-27.67"/>
    <m/>
    <m/>
    <m/>
  </r>
  <r>
    <x v="353"/>
    <m/>
    <x v="35"/>
    <m/>
    <s v="Card charge (FACEBK *CSSBTUUW22)"/>
    <x v="95"/>
    <m/>
    <m/>
    <m/>
    <m/>
    <m/>
    <n v="-60"/>
    <m/>
    <m/>
    <m/>
  </r>
  <r>
    <x v="353"/>
    <m/>
    <x v="35"/>
    <m/>
    <s v="Card charge (FACEBK *JEYSLTLW22)"/>
    <x v="95"/>
    <m/>
    <m/>
    <m/>
    <m/>
    <m/>
    <n v="-60"/>
    <m/>
    <m/>
    <m/>
  </r>
  <r>
    <x v="353"/>
    <m/>
    <x v="35"/>
    <m/>
    <s v="Card charge (FACEBK *YCUGMTYV22)"/>
    <x v="95"/>
    <m/>
    <m/>
    <m/>
    <m/>
    <m/>
    <n v="-60"/>
    <m/>
    <m/>
    <m/>
  </r>
  <r>
    <x v="353"/>
    <m/>
    <x v="37"/>
    <m/>
    <s v="Card charge (MANYCHAT.COM)"/>
    <x v="81"/>
    <m/>
    <m/>
    <m/>
    <m/>
    <m/>
    <n v="-20"/>
    <m/>
    <m/>
    <m/>
  </r>
  <r>
    <x v="353"/>
    <m/>
    <x v="2"/>
    <m/>
    <s v="Card charge (CURSOR USAGE MID  AUG)"/>
    <x v="161"/>
    <m/>
    <m/>
    <m/>
    <m/>
    <m/>
    <n v="-40.36"/>
    <m/>
    <m/>
    <m/>
  </r>
  <r>
    <x v="353"/>
    <m/>
    <x v="37"/>
    <m/>
    <s v="Card charge (ASAAS*DEVZAPP LTDA)"/>
    <x v="80"/>
    <m/>
    <m/>
    <m/>
    <m/>
    <m/>
    <n v="-27.54"/>
    <m/>
    <m/>
    <m/>
  </r>
  <r>
    <x v="354"/>
    <m/>
    <x v="35"/>
    <m/>
    <s v="Card charge (FACEBK *HVU9PTLW22)"/>
    <x v="95"/>
    <m/>
    <m/>
    <m/>
    <m/>
    <m/>
    <n v="-60"/>
    <m/>
    <m/>
    <m/>
  </r>
  <r>
    <x v="354"/>
    <m/>
    <x v="37"/>
    <m/>
    <s v="Card charge (MANYCHAT.COM)"/>
    <x v="81"/>
    <m/>
    <m/>
    <m/>
    <m/>
    <m/>
    <n v="-20"/>
    <m/>
    <m/>
    <m/>
  </r>
  <r>
    <x v="354"/>
    <m/>
    <x v="37"/>
    <m/>
    <s v="Card charge (MANYCHAT.COM)"/>
    <x v="81"/>
    <m/>
    <m/>
    <m/>
    <m/>
    <m/>
    <n v="-20"/>
    <m/>
    <m/>
    <m/>
  </r>
  <r>
    <x v="354"/>
    <m/>
    <x v="2"/>
    <m/>
    <s v="Card charge (CURSOR USAGE  JUL)"/>
    <x v="161"/>
    <m/>
    <m/>
    <m/>
    <m/>
    <m/>
    <n v="-21.27"/>
    <m/>
    <m/>
    <m/>
  </r>
  <r>
    <x v="354"/>
    <m/>
    <x v="2"/>
    <s v="HOSTING"/>
    <s v="Card charge (HOSTINGER* HOSTINGER.C)"/>
    <x v="33"/>
    <m/>
    <m/>
    <m/>
    <m/>
    <m/>
    <n v="-13.87"/>
    <m/>
    <m/>
    <m/>
  </r>
  <r>
    <x v="355"/>
    <m/>
    <x v="35"/>
    <m/>
    <s v="Card charge (FACEBK *5QTFPUCW22)"/>
    <x v="95"/>
    <m/>
    <m/>
    <m/>
    <m/>
    <m/>
    <n v="-60"/>
    <m/>
    <m/>
    <m/>
  </r>
  <r>
    <x v="355"/>
    <m/>
    <x v="37"/>
    <m/>
    <s v="Card charge (MANYCHAT.COM)"/>
    <x v="81"/>
    <m/>
    <m/>
    <m/>
    <m/>
    <m/>
    <n v="-20"/>
    <m/>
    <m/>
    <m/>
  </r>
  <r>
    <x v="355"/>
    <m/>
    <x v="37"/>
    <m/>
    <s v="Card charge (MANYCHAT.COM)"/>
    <x v="81"/>
    <m/>
    <m/>
    <m/>
    <m/>
    <m/>
    <n v="-20"/>
    <m/>
    <m/>
    <m/>
  </r>
  <r>
    <x v="355"/>
    <m/>
    <x v="37"/>
    <m/>
    <s v="Card charge (ADVERONIX LLC)"/>
    <x v="148"/>
    <m/>
    <m/>
    <m/>
    <m/>
    <m/>
    <n v="-59"/>
    <m/>
    <m/>
    <m/>
  </r>
  <r>
    <x v="355"/>
    <m/>
    <x v="37"/>
    <m/>
    <s v="Card charge (FLODESK.COM)"/>
    <x v="90"/>
    <m/>
    <m/>
    <m/>
    <m/>
    <m/>
    <n v="-38"/>
    <m/>
    <m/>
    <m/>
  </r>
  <r>
    <x v="356"/>
    <m/>
    <x v="37"/>
    <m/>
    <s v="Card charge (MANYCHAT.COM)"/>
    <x v="81"/>
    <m/>
    <m/>
    <m/>
    <m/>
    <m/>
    <n v="-20"/>
    <m/>
    <m/>
    <m/>
  </r>
  <r>
    <x v="356"/>
    <m/>
    <x v="37"/>
    <m/>
    <s v="Card charge (MANYCHAT.COM)"/>
    <x v="81"/>
    <m/>
    <m/>
    <m/>
    <m/>
    <m/>
    <n v="-20"/>
    <m/>
    <m/>
    <m/>
  </r>
  <r>
    <x v="357"/>
    <m/>
    <x v="35"/>
    <m/>
    <s v="Card charge (FACEBK *SHDQPU8W22)"/>
    <x v="95"/>
    <m/>
    <m/>
    <m/>
    <m/>
    <m/>
    <n v="-60"/>
    <m/>
    <m/>
    <m/>
  </r>
  <r>
    <x v="357"/>
    <m/>
    <x v="35"/>
    <m/>
    <s v="Card charge (FACEBK *RKM59U4W22)"/>
    <x v="95"/>
    <m/>
    <m/>
    <m/>
    <m/>
    <m/>
    <n v="-60"/>
    <m/>
    <m/>
    <m/>
  </r>
  <r>
    <x v="357"/>
    <m/>
    <x v="37"/>
    <m/>
    <s v="Card charge (MANYCHAT.COM)"/>
    <x v="81"/>
    <m/>
    <m/>
    <m/>
    <m/>
    <m/>
    <n v="-20"/>
    <m/>
    <m/>
    <m/>
  </r>
  <r>
    <x v="357"/>
    <m/>
    <x v="37"/>
    <s v="HOSTING"/>
    <s v="Card charge (HOSTINGER* HOSTINGER.C)"/>
    <x v="33"/>
    <m/>
    <m/>
    <m/>
    <m/>
    <m/>
    <n v="-61.58"/>
    <m/>
    <m/>
    <m/>
  </r>
  <r>
    <x v="357"/>
    <m/>
    <x v="37"/>
    <s v="HOSTING"/>
    <s v="Card charge (hostinger.com)"/>
    <x v="33"/>
    <m/>
    <m/>
    <m/>
    <m/>
    <m/>
    <n v="-14.8"/>
    <m/>
    <m/>
    <m/>
  </r>
  <r>
    <x v="358"/>
    <m/>
    <x v="37"/>
    <m/>
    <s v="Card charge (MANYCHAT.COM)"/>
    <x v="81"/>
    <m/>
    <m/>
    <m/>
    <m/>
    <m/>
    <n v="-20"/>
    <m/>
    <m/>
    <m/>
  </r>
  <r>
    <x v="358"/>
    <m/>
    <x v="37"/>
    <m/>
    <s v="Card charge (MANYCHAT.COM)"/>
    <x v="81"/>
    <m/>
    <m/>
    <m/>
    <m/>
    <m/>
    <n v="-20"/>
    <m/>
    <m/>
    <m/>
  </r>
  <r>
    <x v="358"/>
    <m/>
    <x v="37"/>
    <m/>
    <s v="Card charge (MANYCHAT.COM)"/>
    <x v="81"/>
    <m/>
    <m/>
    <m/>
    <m/>
    <m/>
    <n v="-20"/>
    <m/>
    <m/>
    <m/>
  </r>
  <r>
    <x v="358"/>
    <m/>
    <x v="37"/>
    <m/>
    <s v="Card charge (MANYCHAT.COM)"/>
    <x v="81"/>
    <m/>
    <m/>
    <m/>
    <m/>
    <m/>
    <n v="-20"/>
    <m/>
    <m/>
    <m/>
  </r>
  <r>
    <x v="358"/>
    <m/>
    <x v="37"/>
    <m/>
    <s v="Card charge (MANYCHAT.COM)"/>
    <x v="81"/>
    <m/>
    <m/>
    <m/>
    <m/>
    <m/>
    <n v="-20"/>
    <m/>
    <m/>
    <m/>
  </r>
  <r>
    <x v="358"/>
    <m/>
    <x v="37"/>
    <m/>
    <s v="Card charge (MANYCHAT.COM)"/>
    <x v="81"/>
    <m/>
    <m/>
    <m/>
    <m/>
    <m/>
    <n v="-20"/>
    <m/>
    <m/>
    <m/>
  </r>
  <r>
    <x v="358"/>
    <m/>
    <x v="37"/>
    <m/>
    <s v="Card charge (MANYCHAT.COM)"/>
    <x v="81"/>
    <m/>
    <m/>
    <m/>
    <m/>
    <m/>
    <n v="-20"/>
    <m/>
    <m/>
    <m/>
  </r>
  <r>
    <x v="358"/>
    <m/>
    <x v="37"/>
    <m/>
    <s v="Card charge (MANYCHAT.COM)"/>
    <x v="81"/>
    <m/>
    <m/>
    <m/>
    <m/>
    <m/>
    <n v="-20"/>
    <m/>
    <m/>
    <m/>
  </r>
  <r>
    <x v="359"/>
    <m/>
    <x v="35"/>
    <m/>
    <s v="Card charge (FACEBK *Z39K8VUW22)"/>
    <x v="95"/>
    <m/>
    <m/>
    <m/>
    <m/>
    <m/>
    <n v="-60"/>
    <m/>
    <m/>
    <m/>
  </r>
  <r>
    <x v="359"/>
    <m/>
    <x v="37"/>
    <m/>
    <s v="Card charge (MANYCHAT.COM)"/>
    <x v="81"/>
    <m/>
    <m/>
    <m/>
    <m/>
    <m/>
    <n v="-20"/>
    <m/>
    <m/>
    <m/>
  </r>
  <r>
    <x v="359"/>
    <m/>
    <x v="37"/>
    <m/>
    <s v="Card charge (MANYCHAT.COM)"/>
    <x v="81"/>
    <m/>
    <m/>
    <m/>
    <m/>
    <m/>
    <n v="-20"/>
    <m/>
    <m/>
    <m/>
  </r>
  <r>
    <x v="359"/>
    <m/>
    <x v="37"/>
    <m/>
    <s v="Card charge (MANYCHAT.COM)"/>
    <x v="81"/>
    <m/>
    <m/>
    <m/>
    <m/>
    <m/>
    <n v="-20"/>
    <m/>
    <m/>
    <m/>
  </r>
  <r>
    <x v="359"/>
    <m/>
    <x v="37"/>
    <m/>
    <s v="Card charge (MANYCHAT.COM)"/>
    <x v="81"/>
    <m/>
    <m/>
    <m/>
    <m/>
    <m/>
    <n v="-20"/>
    <m/>
    <m/>
    <m/>
  </r>
  <r>
    <x v="359"/>
    <m/>
    <x v="37"/>
    <m/>
    <s v="Card charge (MANYCHAT.COM)"/>
    <x v="81"/>
    <m/>
    <m/>
    <m/>
    <m/>
    <m/>
    <n v="-20"/>
    <m/>
    <m/>
    <m/>
  </r>
  <r>
    <x v="359"/>
    <m/>
    <x v="37"/>
    <m/>
    <s v="Card charge (MANYCHAT.COM)"/>
    <x v="81"/>
    <m/>
    <m/>
    <m/>
    <m/>
    <m/>
    <n v="-20"/>
    <m/>
    <m/>
    <m/>
  </r>
  <r>
    <x v="359"/>
    <m/>
    <x v="37"/>
    <m/>
    <s v="Card charge (MANYCHAT.COM)"/>
    <x v="81"/>
    <m/>
    <m/>
    <m/>
    <m/>
    <m/>
    <n v="-20"/>
    <m/>
    <m/>
    <m/>
  </r>
  <r>
    <x v="359"/>
    <m/>
    <x v="37"/>
    <m/>
    <s v="Card charge (MANYCHAT.COM)"/>
    <x v="81"/>
    <m/>
    <m/>
    <m/>
    <m/>
    <m/>
    <n v="-20"/>
    <m/>
    <m/>
    <m/>
  </r>
  <r>
    <x v="360"/>
    <m/>
    <x v="35"/>
    <m/>
    <s v="Card charge (FACEBK *5W2W4VCW22)"/>
    <x v="95"/>
    <m/>
    <m/>
    <m/>
    <m/>
    <m/>
    <n v="-60"/>
    <m/>
    <m/>
    <m/>
  </r>
  <r>
    <x v="360"/>
    <m/>
    <x v="37"/>
    <m/>
    <s v="Card charge (MANYCHAT.COM)"/>
    <x v="81"/>
    <m/>
    <m/>
    <m/>
    <m/>
    <m/>
    <n v="-20"/>
    <m/>
    <m/>
    <m/>
  </r>
  <r>
    <x v="360"/>
    <m/>
    <x v="37"/>
    <m/>
    <s v="Card charge (MANYCHAT.COM)"/>
    <x v="81"/>
    <m/>
    <m/>
    <m/>
    <m/>
    <m/>
    <n v="-20"/>
    <m/>
    <m/>
    <m/>
  </r>
  <r>
    <x v="360"/>
    <m/>
    <x v="37"/>
    <m/>
    <s v="Card charge (MANYCHAT.COM)"/>
    <x v="81"/>
    <m/>
    <m/>
    <m/>
    <m/>
    <m/>
    <n v="-20"/>
    <m/>
    <m/>
    <m/>
  </r>
  <r>
    <x v="360"/>
    <m/>
    <x v="37"/>
    <m/>
    <s v="Card charge (MANYCHAT.COM)"/>
    <x v="81"/>
    <m/>
    <m/>
    <m/>
    <m/>
    <m/>
    <n v="-20"/>
    <m/>
    <m/>
    <m/>
  </r>
  <r>
    <x v="360"/>
    <m/>
    <x v="33"/>
    <m/>
    <s v="Payment from Hotmart"/>
    <x v="152"/>
    <m/>
    <m/>
    <m/>
    <m/>
    <n v="-18997"/>
    <n v="18997"/>
    <m/>
    <m/>
    <m/>
  </r>
  <r>
    <x v="360"/>
    <m/>
    <x v="2"/>
    <m/>
    <s v="Payment to Bancolombia (6138)"/>
    <x v="141"/>
    <m/>
    <m/>
    <m/>
    <m/>
    <m/>
    <n v="-2920"/>
    <m/>
    <m/>
    <m/>
  </r>
  <r>
    <x v="361"/>
    <m/>
    <x v="37"/>
    <m/>
    <s v="Card charge (MANYCHAT.COM)"/>
    <x v="81"/>
    <m/>
    <m/>
    <m/>
    <m/>
    <m/>
    <n v="-20"/>
    <m/>
    <m/>
    <m/>
  </r>
  <r>
    <x v="361"/>
    <m/>
    <x v="37"/>
    <m/>
    <s v="Card charge (ADVERONIX LLC)"/>
    <x v="148"/>
    <m/>
    <m/>
    <m/>
    <m/>
    <m/>
    <n v="-59"/>
    <m/>
    <m/>
    <m/>
  </r>
  <r>
    <x v="361"/>
    <m/>
    <x v="39"/>
    <m/>
    <s v="Card charge (FLODESK.COM)"/>
    <x v="90"/>
    <m/>
    <m/>
    <m/>
    <m/>
    <m/>
    <n v="-38"/>
    <m/>
    <m/>
    <m/>
  </r>
  <r>
    <x v="361"/>
    <m/>
    <x v="40"/>
    <m/>
    <s v="Payment to JUAN CARLOS BARROS ALFARO"/>
    <x v="95"/>
    <m/>
    <m/>
    <m/>
    <m/>
    <m/>
    <n v="-1004"/>
    <m/>
    <m/>
    <m/>
  </r>
  <r>
    <x v="362"/>
    <m/>
    <x v="35"/>
    <m/>
    <s v="Card charge (FACEBK *X3D4QU4W22)"/>
    <x v="95"/>
    <m/>
    <m/>
    <m/>
    <m/>
    <m/>
    <n v="-60"/>
    <m/>
    <m/>
    <m/>
  </r>
  <r>
    <x v="362"/>
    <m/>
    <x v="35"/>
    <m/>
    <s v="Card charge (FACEBK *UWEWDVUV22)"/>
    <x v="95"/>
    <m/>
    <m/>
    <m/>
    <m/>
    <m/>
    <n v="-60"/>
    <m/>
    <m/>
    <m/>
  </r>
  <r>
    <x v="362"/>
    <m/>
    <x v="37"/>
    <m/>
    <s v="Card charge (MANYCHAT.COM)"/>
    <x v="81"/>
    <m/>
    <m/>
    <m/>
    <m/>
    <m/>
    <n v="-20"/>
    <m/>
    <m/>
    <m/>
  </r>
  <r>
    <x v="362"/>
    <m/>
    <x v="37"/>
    <m/>
    <s v="Card charge (MANYCHAT.COM)"/>
    <x v="81"/>
    <m/>
    <m/>
    <m/>
    <m/>
    <m/>
    <n v="-20"/>
    <m/>
    <m/>
    <m/>
  </r>
  <r>
    <x v="362"/>
    <m/>
    <x v="37"/>
    <s v="VPS N8N"/>
    <s v="Card charge (HOSTINGER* HOSTINGER.C)"/>
    <x v="33"/>
    <m/>
    <m/>
    <m/>
    <m/>
    <m/>
    <n v="-17.88"/>
    <m/>
    <m/>
    <m/>
  </r>
  <r>
    <x v="363"/>
    <m/>
    <x v="37"/>
    <m/>
    <s v="Card charge (CLOUDFLARE)"/>
    <x v="184"/>
    <m/>
    <m/>
    <m/>
    <m/>
    <m/>
    <n v="-25"/>
    <m/>
    <m/>
    <m/>
  </r>
  <r>
    <x v="364"/>
    <m/>
    <x v="35"/>
    <m/>
    <s v="Card charge (FACEBK *LGU2PVUW22)"/>
    <x v="95"/>
    <m/>
    <m/>
    <m/>
    <m/>
    <m/>
    <n v="-60"/>
    <m/>
    <m/>
    <m/>
  </r>
  <r>
    <x v="364"/>
    <m/>
    <x v="35"/>
    <m/>
    <s v="Card charge (FACEBK *MQGEHVQW22)"/>
    <x v="95"/>
    <m/>
    <m/>
    <m/>
    <m/>
    <m/>
    <n v="-60"/>
    <m/>
    <m/>
    <m/>
  </r>
  <r>
    <x v="364"/>
    <m/>
    <x v="37"/>
    <m/>
    <s v="Card charge (MANYCHAT.COM)"/>
    <x v="81"/>
    <m/>
    <m/>
    <m/>
    <m/>
    <m/>
    <n v="-20"/>
    <m/>
    <m/>
    <m/>
  </r>
  <r>
    <x v="364"/>
    <m/>
    <x v="37"/>
    <m/>
    <s v="Card charge (MANYCHAT.COM)"/>
    <x v="81"/>
    <m/>
    <m/>
    <m/>
    <m/>
    <m/>
    <n v="-20"/>
    <m/>
    <m/>
    <m/>
  </r>
  <r>
    <x v="365"/>
    <m/>
    <x v="37"/>
    <m/>
    <s v="Card charge (FACEBK *6BC942MSU2)"/>
    <x v="95"/>
    <m/>
    <m/>
    <m/>
    <m/>
    <m/>
    <n v="-14"/>
    <m/>
    <m/>
    <m/>
  </r>
  <r>
    <x v="365"/>
    <m/>
    <x v="37"/>
    <m/>
    <s v="Card charge (FACEBK *3UMC6YQSU2)"/>
    <x v="95"/>
    <m/>
    <m/>
    <m/>
    <m/>
    <m/>
    <n v="-14"/>
    <m/>
    <m/>
    <m/>
  </r>
  <r>
    <x v="365"/>
    <m/>
    <x v="37"/>
    <m/>
    <s v="Card charge (FACEBK *YDZ7SXYSU2)"/>
    <x v="95"/>
    <m/>
    <m/>
    <m/>
    <m/>
    <m/>
    <n v="-14"/>
    <m/>
    <m/>
    <m/>
  </r>
  <r>
    <x v="365"/>
    <m/>
    <x v="37"/>
    <m/>
    <s v="Card charge (FACEBK *WGS9NXCTU2)"/>
    <x v="95"/>
    <m/>
    <m/>
    <m/>
    <m/>
    <m/>
    <n v="-13"/>
    <m/>
    <m/>
    <m/>
  </r>
  <r>
    <x v="365"/>
    <m/>
    <x v="37"/>
    <m/>
    <s v="Card charge (FACEBK *WB776YQSU2)"/>
    <x v="95"/>
    <m/>
    <m/>
    <m/>
    <m/>
    <m/>
    <n v="-14"/>
    <m/>
    <m/>
    <m/>
  </r>
  <r>
    <x v="365"/>
    <m/>
    <x v="37"/>
    <m/>
    <s v="Card charge (FACEBK *RS2K6YQSU2)"/>
    <x v="95"/>
    <m/>
    <m/>
    <m/>
    <m/>
    <m/>
    <n v="-14"/>
    <m/>
    <m/>
    <m/>
  </r>
  <r>
    <x v="365"/>
    <m/>
    <x v="37"/>
    <m/>
    <s v="Card charge (FACEBK *M5LCUW8TU2)"/>
    <x v="95"/>
    <m/>
    <m/>
    <m/>
    <m/>
    <m/>
    <n v="-8"/>
    <m/>
    <m/>
    <m/>
  </r>
  <r>
    <x v="365"/>
    <m/>
    <x v="37"/>
    <m/>
    <s v="Card charge (FACEBK *MCNKRXYSU2)"/>
    <x v="95"/>
    <m/>
    <m/>
    <m/>
    <m/>
    <m/>
    <n v="-7"/>
    <m/>
    <m/>
    <m/>
  </r>
  <r>
    <x v="365"/>
    <m/>
    <x v="37"/>
    <m/>
    <s v="Card charge (FACEBK *KXAFUW4TU2)"/>
    <x v="95"/>
    <m/>
    <m/>
    <m/>
    <m/>
    <m/>
    <n v="-7"/>
    <m/>
    <m/>
    <m/>
  </r>
  <r>
    <x v="365"/>
    <m/>
    <x v="37"/>
    <m/>
    <s v="Card charge (FACEBK *KUMW5YQSU2)"/>
    <x v="95"/>
    <m/>
    <m/>
    <m/>
    <m/>
    <m/>
    <n v="-10"/>
    <m/>
    <m/>
    <m/>
  </r>
  <r>
    <x v="365"/>
    <m/>
    <x v="37"/>
    <m/>
    <s v="Card charge (FACEBK *G9H3NXCTU2)"/>
    <x v="95"/>
    <m/>
    <m/>
    <m/>
    <m/>
    <m/>
    <n v="-9"/>
    <m/>
    <m/>
    <m/>
  </r>
  <r>
    <x v="365"/>
    <m/>
    <x v="37"/>
    <m/>
    <s v="Card charge (FACEBK *EN4RUW4TU2)"/>
    <x v="95"/>
    <m/>
    <m/>
    <m/>
    <m/>
    <m/>
    <n v="-11"/>
    <m/>
    <m/>
    <m/>
  </r>
  <r>
    <x v="365"/>
    <m/>
    <x v="37"/>
    <m/>
    <s v="Card charge (FACEBK *DZLMZWUSU2)"/>
    <x v="95"/>
    <m/>
    <m/>
    <m/>
    <m/>
    <m/>
    <n v="-14"/>
    <m/>
    <m/>
    <m/>
  </r>
  <r>
    <x v="365"/>
    <m/>
    <x v="37"/>
    <m/>
    <s v="Card charge (FACEBK *AY9PRXLTU2)"/>
    <x v="95"/>
    <m/>
    <m/>
    <m/>
    <m/>
    <m/>
    <n v="-12"/>
    <m/>
    <m/>
    <m/>
  </r>
  <r>
    <x v="365"/>
    <m/>
    <x v="37"/>
    <m/>
    <s v="Card charge (FACEBK *8PHRRXLTU2)"/>
    <x v="95"/>
    <m/>
    <m/>
    <m/>
    <m/>
    <m/>
    <n v="-2.2000000000000002"/>
    <m/>
    <m/>
    <m/>
  </r>
  <r>
    <x v="365"/>
    <m/>
    <x v="37"/>
    <m/>
    <s v="Card charge (FACEBK *7YNVZWUSU2)"/>
    <x v="95"/>
    <m/>
    <m/>
    <m/>
    <m/>
    <m/>
    <n v="-2.21"/>
    <m/>
    <m/>
    <m/>
  </r>
  <r>
    <x v="365"/>
    <m/>
    <x v="37"/>
    <m/>
    <s v="Card charge (FACEBK *64L56YQSU2)"/>
    <x v="95"/>
    <m/>
    <m/>
    <m/>
    <m/>
    <m/>
    <n v="-11.74"/>
    <m/>
    <m/>
    <m/>
  </r>
  <r>
    <x v="365"/>
    <m/>
    <x v="37"/>
    <m/>
    <s v="Card charge (FACEBK *6W3B6YQSU2)"/>
    <x v="95"/>
    <m/>
    <m/>
    <m/>
    <m/>
    <m/>
    <n v="-1.26"/>
    <m/>
    <m/>
    <m/>
  </r>
  <r>
    <x v="365"/>
    <m/>
    <x v="37"/>
    <m/>
    <s v="Card charge (FACEBK *43HAZWUSU2)"/>
    <x v="95"/>
    <m/>
    <m/>
    <m/>
    <m/>
    <m/>
    <n v="-6.66"/>
    <m/>
    <m/>
    <m/>
  </r>
  <r>
    <x v="365"/>
    <m/>
    <x v="37"/>
    <m/>
    <s v="Card charge (FACEBK *4YQLUW4TU2)"/>
    <x v="95"/>
    <m/>
    <m/>
    <m/>
    <m/>
    <m/>
    <n v="-6.61"/>
    <m/>
    <m/>
    <m/>
  </r>
  <r>
    <x v="365"/>
    <m/>
    <x v="37"/>
    <m/>
    <s v="Card charge (FACEBK *34ME6YQSU2)"/>
    <x v="95"/>
    <m/>
    <m/>
    <m/>
    <m/>
    <m/>
    <n v="-1.0900000000000001"/>
    <m/>
    <m/>
    <m/>
  </r>
  <r>
    <x v="365"/>
    <m/>
    <x v="37"/>
    <m/>
    <s v="Card charge (FACEBK *2P9L5YQSU2)"/>
    <x v="95"/>
    <m/>
    <m/>
    <m/>
    <m/>
    <m/>
    <n v="-2.7"/>
    <m/>
    <m/>
    <m/>
  </r>
  <r>
    <x v="365"/>
    <m/>
    <x v="37"/>
    <m/>
    <s v="Card charge (FACEBK *W6QE52HTU2)"/>
    <x v="95"/>
    <m/>
    <m/>
    <m/>
    <m/>
    <m/>
    <n v="-2.3199999999999998"/>
    <m/>
    <m/>
    <m/>
  </r>
  <r>
    <x v="365"/>
    <m/>
    <x v="37"/>
    <m/>
    <s v="Card charge (FACEBK *S2LV5YQSU2)"/>
    <x v="95"/>
    <m/>
    <m/>
    <m/>
    <m/>
    <m/>
    <n v="-5.08"/>
    <m/>
    <m/>
    <m/>
  </r>
  <r>
    <x v="365"/>
    <m/>
    <x v="37"/>
    <m/>
    <s v="Card charge (FACEBK *JZ3GRXLTU2)"/>
    <x v="95"/>
    <m/>
    <m/>
    <m/>
    <m/>
    <m/>
    <n v="-1.56"/>
    <m/>
    <m/>
    <m/>
  </r>
  <r>
    <x v="365"/>
    <m/>
    <x v="37"/>
    <m/>
    <s v="Card charge (FACEBK *HLFS32MSU2)"/>
    <x v="95"/>
    <m/>
    <m/>
    <m/>
    <m/>
    <m/>
    <n v="-3.15"/>
    <m/>
    <m/>
    <m/>
  </r>
  <r>
    <x v="365"/>
    <m/>
    <x v="37"/>
    <m/>
    <s v="Card charge (FACEBK *E596SXLTU2)"/>
    <x v="95"/>
    <m/>
    <m/>
    <m/>
    <m/>
    <m/>
    <n v="-1.56"/>
    <m/>
    <m/>
    <m/>
  </r>
  <r>
    <x v="365"/>
    <m/>
    <x v="37"/>
    <m/>
    <s v="Card charge (FACEBK *CQNM5YQSU2)"/>
    <x v="95"/>
    <m/>
    <m/>
    <m/>
    <m/>
    <m/>
    <n v="-2.1"/>
    <m/>
    <m/>
    <m/>
  </r>
  <r>
    <x v="365"/>
    <m/>
    <x v="37"/>
    <m/>
    <s v="Card charge (FACEBK *CH876YQSU2)"/>
    <x v="95"/>
    <m/>
    <m/>
    <m/>
    <m/>
    <m/>
    <n v="-1.56"/>
    <m/>
    <m/>
    <m/>
  </r>
  <r>
    <x v="365"/>
    <m/>
    <x v="37"/>
    <m/>
    <s v="Card charge (FACEBK *BTVMUW4TU2)"/>
    <x v="95"/>
    <m/>
    <m/>
    <m/>
    <m/>
    <m/>
    <n v="-5.63"/>
    <m/>
    <m/>
    <m/>
  </r>
  <r>
    <x v="365"/>
    <m/>
    <x v="35"/>
    <m/>
    <s v="Card charge (FACEBK *6ATQMVQW22)"/>
    <x v="95"/>
    <m/>
    <m/>
    <m/>
    <m/>
    <m/>
    <n v="-3.71"/>
    <m/>
    <m/>
    <m/>
  </r>
  <r>
    <x v="365"/>
    <m/>
    <x v="37"/>
    <m/>
    <s v="Card charge (FACEBK *UXA732MSU2)"/>
    <x v="95"/>
    <m/>
    <m/>
    <m/>
    <m/>
    <m/>
    <n v="-2"/>
    <m/>
    <m/>
    <m/>
  </r>
  <r>
    <x v="365"/>
    <m/>
    <x v="37"/>
    <m/>
    <s v="Card charge (FACEBK *RH6452HTU2)"/>
    <x v="95"/>
    <m/>
    <m/>
    <m/>
    <m/>
    <m/>
    <n v="-6"/>
    <m/>
    <m/>
    <m/>
  </r>
  <r>
    <x v="365"/>
    <m/>
    <x v="37"/>
    <m/>
    <s v="Card charge (FACEBK *J7MQMXCTU2)"/>
    <x v="95"/>
    <m/>
    <m/>
    <m/>
    <m/>
    <m/>
    <n v="-5"/>
    <m/>
    <m/>
    <m/>
  </r>
  <r>
    <x v="365"/>
    <m/>
    <x v="37"/>
    <m/>
    <s v="Card charge (FACEBK *B5Z4MXCTU2)"/>
    <x v="95"/>
    <m/>
    <m/>
    <m/>
    <m/>
    <m/>
    <n v="-2"/>
    <m/>
    <m/>
    <m/>
  </r>
  <r>
    <x v="365"/>
    <m/>
    <x v="37"/>
    <m/>
    <s v="Card charge (FACEBK *B42NMXCTU2)"/>
    <x v="95"/>
    <m/>
    <m/>
    <m/>
    <m/>
    <m/>
    <n v="-4"/>
    <m/>
    <m/>
    <m/>
  </r>
  <r>
    <x v="365"/>
    <m/>
    <x v="37"/>
    <m/>
    <s v="Card charge (FACEBK *ZCZJ5YQSU2)"/>
    <x v="95"/>
    <m/>
    <m/>
    <m/>
    <m/>
    <m/>
    <n v="-1.59"/>
    <m/>
    <m/>
    <m/>
  </r>
  <r>
    <x v="365"/>
    <m/>
    <x v="37"/>
    <m/>
    <s v="Card charge (FACEBK *PKEG5YQSU2)"/>
    <x v="95"/>
    <m/>
    <m/>
    <m/>
    <m/>
    <m/>
    <n v="-1.3"/>
    <m/>
    <m/>
    <m/>
  </r>
  <r>
    <x v="365"/>
    <m/>
    <x v="37"/>
    <m/>
    <s v="Card charge (FACEBK *JZYMMXCTU2)"/>
    <x v="95"/>
    <m/>
    <m/>
    <m/>
    <m/>
    <m/>
    <n v="-1"/>
    <m/>
    <m/>
    <m/>
  </r>
  <r>
    <x v="366"/>
    <m/>
    <x v="35"/>
    <m/>
    <s v="Card charge (FACEBK *ZZEVXW4TU2)"/>
    <x v="95"/>
    <m/>
    <m/>
    <m/>
    <m/>
    <m/>
    <n v="-60"/>
    <m/>
    <m/>
    <m/>
  </r>
  <r>
    <x v="366"/>
    <m/>
    <x v="37"/>
    <m/>
    <s v="Card charge (FACEBK *752ERXCTU2)"/>
    <x v="95"/>
    <m/>
    <m/>
    <m/>
    <m/>
    <m/>
    <n v="-5.48"/>
    <m/>
    <m/>
    <m/>
  </r>
  <r>
    <x v="366"/>
    <m/>
    <x v="37"/>
    <m/>
    <s v="Card charge (FACEBK *58W3VXLTU2)"/>
    <x v="95"/>
    <m/>
    <m/>
    <m/>
    <m/>
    <m/>
    <n v="-5.57"/>
    <m/>
    <m/>
    <m/>
  </r>
  <r>
    <x v="366"/>
    <m/>
    <x v="37"/>
    <m/>
    <s v="Card charge (FACEBK *7V5ZTXYSU2)"/>
    <x v="95"/>
    <m/>
    <m/>
    <m/>
    <m/>
    <m/>
    <n v="-40"/>
    <m/>
    <m/>
    <m/>
  </r>
  <r>
    <x v="366"/>
    <m/>
    <x v="37"/>
    <m/>
    <s v="Card charge (FACEBK *HDAFQVQW22)"/>
    <x v="95"/>
    <m/>
    <m/>
    <m/>
    <m/>
    <m/>
    <n v="-60"/>
    <m/>
    <m/>
    <m/>
  </r>
  <r>
    <x v="366"/>
    <m/>
    <x v="37"/>
    <m/>
    <s v="Card charge (FACEBK *ZLS28YQSU2)"/>
    <x v="95"/>
    <m/>
    <m/>
    <m/>
    <m/>
    <m/>
    <n v="-34"/>
    <m/>
    <m/>
    <m/>
  </r>
  <r>
    <x v="366"/>
    <m/>
    <x v="37"/>
    <m/>
    <s v="Card charge (FACEBK *ZBFPWW4TU2)"/>
    <x v="95"/>
    <m/>
    <m/>
    <m/>
    <m/>
    <m/>
    <n v="-28"/>
    <m/>
    <m/>
    <m/>
  </r>
  <r>
    <x v="366"/>
    <m/>
    <x v="37"/>
    <m/>
    <s v="Card charge (FACEBK *Y7LWTXYSU2)"/>
    <x v="95"/>
    <m/>
    <m/>
    <m/>
    <m/>
    <m/>
    <n v="-37"/>
    <m/>
    <m/>
    <m/>
  </r>
  <r>
    <x v="366"/>
    <m/>
    <x v="37"/>
    <m/>
    <s v="Card charge (FACEBK *T3Q3UXYSU2)"/>
    <x v="95"/>
    <m/>
    <m/>
    <m/>
    <m/>
    <m/>
    <n v="-43"/>
    <m/>
    <m/>
    <m/>
  </r>
  <r>
    <x v="366"/>
    <m/>
    <x v="37"/>
    <m/>
    <s v="Card charge (FACEBK *S8RLXW4TU2)"/>
    <x v="95"/>
    <m/>
    <m/>
    <m/>
    <m/>
    <m/>
    <n v="-56"/>
    <m/>
    <m/>
    <m/>
  </r>
  <r>
    <x v="366"/>
    <m/>
    <x v="37"/>
    <m/>
    <s v="Card charge (FACEBK *QPLB3XUSU2)"/>
    <x v="95"/>
    <m/>
    <m/>
    <m/>
    <m/>
    <m/>
    <n v="-31"/>
    <m/>
    <m/>
    <m/>
  </r>
  <r>
    <x v="366"/>
    <m/>
    <x v="37"/>
    <m/>
    <s v="Card charge (FACEBK *PHPCWW8TU2)"/>
    <x v="95"/>
    <m/>
    <m/>
    <m/>
    <m/>
    <m/>
    <n v="-25"/>
    <m/>
    <m/>
    <m/>
  </r>
  <r>
    <x v="366"/>
    <m/>
    <x v="37"/>
    <m/>
    <s v="Card charge (FACEBK *BZPZQXCTU2)"/>
    <x v="95"/>
    <m/>
    <m/>
    <m/>
    <m/>
    <m/>
    <n v="-52"/>
    <m/>
    <m/>
    <m/>
  </r>
  <r>
    <x v="366"/>
    <m/>
    <x v="37"/>
    <m/>
    <s v="Card charge (FACEBK *85W54XUSU2)"/>
    <x v="95"/>
    <m/>
    <m/>
    <m/>
    <m/>
    <m/>
    <n v="-49"/>
    <m/>
    <m/>
    <m/>
  </r>
  <r>
    <x v="366"/>
    <m/>
    <x v="37"/>
    <m/>
    <s v="Card charge (FACEBK *8E4V52MSU2)"/>
    <x v="95"/>
    <m/>
    <m/>
    <m/>
    <m/>
    <m/>
    <n v="-5.82"/>
    <m/>
    <m/>
    <m/>
  </r>
  <r>
    <x v="366"/>
    <m/>
    <x v="37"/>
    <m/>
    <s v="Card charge (FACEBK *472VTXLTU2)"/>
    <x v="95"/>
    <m/>
    <m/>
    <m/>
    <m/>
    <m/>
    <n v="-5.79"/>
    <m/>
    <m/>
    <m/>
  </r>
  <r>
    <x v="366"/>
    <m/>
    <x v="37"/>
    <m/>
    <s v="Card charge (FACEBK *ZSADXW4TU2)"/>
    <x v="95"/>
    <m/>
    <m/>
    <m/>
    <m/>
    <m/>
    <n v="-46"/>
    <m/>
    <m/>
    <m/>
  </r>
  <r>
    <x v="366"/>
    <m/>
    <x v="37"/>
    <m/>
    <s v="Card charge (FACEBK *FFMXTXLTU2)"/>
    <x v="95"/>
    <m/>
    <m/>
    <m/>
    <m/>
    <m/>
    <n v="-6.12"/>
    <m/>
    <m/>
    <m/>
  </r>
  <r>
    <x v="366"/>
    <m/>
    <x v="37"/>
    <m/>
    <s v="Card charge (FACEBK *DU57UXYSU2)"/>
    <x v="95"/>
    <m/>
    <m/>
    <m/>
    <m/>
    <m/>
    <n v="-9.17"/>
    <m/>
    <m/>
    <m/>
  </r>
  <r>
    <x v="366"/>
    <m/>
    <x v="37"/>
    <m/>
    <s v="Card charge (FACEBK *59HDTXLTU2)"/>
    <x v="95"/>
    <m/>
    <m/>
    <m/>
    <m/>
    <m/>
    <n v="-18"/>
    <m/>
    <m/>
    <m/>
  </r>
  <r>
    <x v="366"/>
    <m/>
    <x v="37"/>
    <m/>
    <s v="Card charge (FACEBK *S2FYPXCTU2)"/>
    <x v="95"/>
    <m/>
    <m/>
    <m/>
    <m/>
    <m/>
    <n v="-20"/>
    <m/>
    <m/>
    <m/>
  </r>
  <r>
    <x v="366"/>
    <m/>
    <x v="37"/>
    <m/>
    <s v="Card charge (FACEBK *GQUUPXCTU2)"/>
    <x v="95"/>
    <m/>
    <m/>
    <m/>
    <m/>
    <m/>
    <n v="-16"/>
    <m/>
    <m/>
    <m/>
  </r>
  <r>
    <x v="366"/>
    <m/>
    <x v="37"/>
    <m/>
    <s v="Card charge (FACEBK *FXXGTXLTU2)"/>
    <x v="95"/>
    <m/>
    <m/>
    <m/>
    <m/>
    <m/>
    <n v="-22"/>
    <m/>
    <m/>
    <m/>
  </r>
  <r>
    <x v="366"/>
    <m/>
    <x v="37"/>
    <m/>
    <s v="Card charge (FACEBK *DARBWW4TU2)"/>
    <x v="95"/>
    <m/>
    <m/>
    <m/>
    <m/>
    <m/>
    <n v="-14"/>
    <m/>
    <m/>
    <m/>
  </r>
  <r>
    <x v="366"/>
    <m/>
    <x v="37"/>
    <m/>
    <s v="Card charge (FACEBK *822GTXLTU2)"/>
    <x v="95"/>
    <m/>
    <m/>
    <m/>
    <m/>
    <m/>
    <n v="-3.23"/>
    <m/>
    <m/>
    <m/>
  </r>
  <r>
    <x v="366"/>
    <m/>
    <x v="37"/>
    <m/>
    <s v="Card charge (FACEBK *7SWC72HTU2)"/>
    <x v="95"/>
    <m/>
    <m/>
    <m/>
    <m/>
    <m/>
    <n v="-5.25"/>
    <m/>
    <m/>
    <m/>
  </r>
  <r>
    <x v="366"/>
    <m/>
    <x v="37"/>
    <m/>
    <s v="Card charge (FACEBK *5JQGWW4TU2)"/>
    <x v="95"/>
    <m/>
    <m/>
    <m/>
    <m/>
    <m/>
    <n v="-1.51"/>
    <m/>
    <m/>
    <m/>
  </r>
  <r>
    <x v="366"/>
    <m/>
    <x v="37"/>
    <m/>
    <s v="Card charge (FACEBK *ZXBLWW4TU2)"/>
    <x v="95"/>
    <m/>
    <m/>
    <m/>
    <m/>
    <m/>
    <n v="-4.18"/>
    <m/>
    <m/>
    <m/>
  </r>
  <r>
    <x v="366"/>
    <m/>
    <x v="37"/>
    <m/>
    <s v="Card charge (FACEBK *YNME72HTU2)"/>
    <x v="95"/>
    <m/>
    <m/>
    <m/>
    <m/>
    <m/>
    <n v="-7.11"/>
    <m/>
    <m/>
    <m/>
  </r>
  <r>
    <x v="366"/>
    <m/>
    <x v="37"/>
    <m/>
    <s v="Card charge (FACEBK *JNJG7YQSU2)"/>
    <x v="95"/>
    <m/>
    <m/>
    <m/>
    <m/>
    <m/>
    <n v="-3.74"/>
    <m/>
    <m/>
    <m/>
  </r>
  <r>
    <x v="366"/>
    <m/>
    <x v="37"/>
    <m/>
    <s v="Card charge (FACEBK *JKMRPXCTU2)"/>
    <x v="95"/>
    <m/>
    <m/>
    <m/>
    <m/>
    <m/>
    <n v="-4.7"/>
    <m/>
    <m/>
    <m/>
  </r>
  <r>
    <x v="366"/>
    <m/>
    <x v="37"/>
    <m/>
    <s v="Card charge (FACEBK *GG26WW8TU2)"/>
    <x v="95"/>
    <m/>
    <m/>
    <m/>
    <m/>
    <m/>
    <n v="-4.3600000000000003"/>
    <m/>
    <m/>
    <m/>
  </r>
  <r>
    <x v="366"/>
    <m/>
    <x v="37"/>
    <m/>
    <s v="Card charge (FACEBK *ET6JWW8TU2)"/>
    <x v="95"/>
    <m/>
    <m/>
    <m/>
    <m/>
    <m/>
    <n v="-5.68"/>
    <m/>
    <m/>
    <m/>
  </r>
  <r>
    <x v="366"/>
    <m/>
    <x v="37"/>
    <m/>
    <s v="Card charge (FACEBK *YNWR2XUSU2)"/>
    <x v="95"/>
    <m/>
    <m/>
    <m/>
    <m/>
    <m/>
    <n v="-14"/>
    <m/>
    <m/>
    <m/>
  </r>
  <r>
    <x v="366"/>
    <m/>
    <x v="37"/>
    <m/>
    <s v="Card charge (FACEBK *QLBM6YQSU2)"/>
    <x v="95"/>
    <m/>
    <m/>
    <m/>
    <m/>
    <m/>
    <n v="-14"/>
    <m/>
    <m/>
    <m/>
  </r>
  <r>
    <x v="366"/>
    <m/>
    <x v="37"/>
    <m/>
    <s v="Card charge (FACEBK *GRSH7YQSU2)"/>
    <x v="95"/>
    <m/>
    <m/>
    <m/>
    <m/>
    <m/>
    <n v="-14"/>
    <m/>
    <m/>
    <m/>
  </r>
  <r>
    <x v="366"/>
    <m/>
    <x v="37"/>
    <m/>
    <s v="Card charge (FACEBK *DSHG7YQSU2)"/>
    <x v="95"/>
    <m/>
    <m/>
    <m/>
    <m/>
    <m/>
    <n v="-14"/>
    <m/>
    <m/>
    <m/>
  </r>
  <r>
    <x v="366"/>
    <m/>
    <x v="37"/>
    <m/>
    <s v="Card charge (FACEBK *GXCZ62HTU2)"/>
    <x v="95"/>
    <m/>
    <m/>
    <m/>
    <m/>
    <m/>
    <n v="-3.52"/>
    <m/>
    <m/>
    <m/>
  </r>
  <r>
    <x v="366"/>
    <m/>
    <x v="37"/>
    <m/>
    <s v="Card charge (FACEBK *CNLWVW8TU2)"/>
    <x v="95"/>
    <m/>
    <m/>
    <m/>
    <m/>
    <m/>
    <n v="-4.55"/>
    <m/>
    <m/>
    <m/>
  </r>
  <r>
    <x v="366"/>
    <m/>
    <x v="37"/>
    <m/>
    <s v="Card charge (MANYCHAT.COM)"/>
    <x v="81"/>
    <m/>
    <m/>
    <m/>
    <m/>
    <m/>
    <n v="-20"/>
    <m/>
    <m/>
    <m/>
  </r>
  <r>
    <x v="366"/>
    <m/>
    <x v="37"/>
    <m/>
    <s v="Card charge (OPENAI *CHATGPT SUBSCR)"/>
    <x v="35"/>
    <m/>
    <m/>
    <m/>
    <m/>
    <m/>
    <n v="-20"/>
    <m/>
    <m/>
    <m/>
  </r>
  <r>
    <x v="367"/>
    <m/>
    <x v="37"/>
    <m/>
    <s v="Card charge (FACEBK *QGE3UXCTU2)"/>
    <x v="95"/>
    <m/>
    <m/>
    <m/>
    <m/>
    <m/>
    <n v="-103"/>
    <m/>
    <m/>
    <m/>
  </r>
  <r>
    <x v="367"/>
    <m/>
    <x v="37"/>
    <m/>
    <s v="Card charge (FACEBK *NX677XUSU2)"/>
    <x v="95"/>
    <m/>
    <m/>
    <m/>
    <m/>
    <m/>
    <n v="-10.19"/>
    <m/>
    <m/>
    <m/>
  </r>
  <r>
    <x v="367"/>
    <m/>
    <x v="37"/>
    <m/>
    <s v="Card charge (FACEBK *EGZJB2HTU2)"/>
    <x v="95"/>
    <m/>
    <m/>
    <m/>
    <m/>
    <m/>
    <n v="-13.81"/>
    <m/>
    <m/>
    <m/>
  </r>
  <r>
    <x v="367"/>
    <m/>
    <x v="37"/>
    <m/>
    <s v="Card charge (FACEBK *8472TXCTU2)"/>
    <x v="95"/>
    <m/>
    <m/>
    <m/>
    <m/>
    <m/>
    <n v="-84"/>
    <m/>
    <m/>
    <m/>
  </r>
  <r>
    <x v="367"/>
    <m/>
    <x v="37"/>
    <m/>
    <s v="Card charge (FACEBK *WWSR5XUSU2)"/>
    <x v="95"/>
    <m/>
    <m/>
    <m/>
    <m/>
    <m/>
    <n v="-78"/>
    <m/>
    <m/>
    <m/>
  </r>
  <r>
    <x v="367"/>
    <m/>
    <x v="35"/>
    <m/>
    <s v="Card charge (FACEBK *P7UXNVCW22)"/>
    <x v="95"/>
    <m/>
    <m/>
    <m/>
    <m/>
    <m/>
    <n v="-60"/>
    <m/>
    <m/>
    <m/>
  </r>
  <r>
    <x v="367"/>
    <m/>
    <x v="37"/>
    <m/>
    <s v="Card charge (FACEBK *R2HTTXCTU2)"/>
    <x v="95"/>
    <m/>
    <m/>
    <m/>
    <m/>
    <m/>
    <n v="-96"/>
    <m/>
    <m/>
    <m/>
  </r>
  <r>
    <x v="367"/>
    <m/>
    <x v="37"/>
    <m/>
    <s v="Card charge (FACEBK *GVBPA2HTU2)"/>
    <x v="95"/>
    <m/>
    <m/>
    <m/>
    <m/>
    <m/>
    <n v="-90"/>
    <m/>
    <m/>
    <m/>
  </r>
  <r>
    <x v="367"/>
    <m/>
    <x v="37"/>
    <m/>
    <s v="Card charge (FACEBK *97R9ZW8TU2)"/>
    <x v="95"/>
    <m/>
    <m/>
    <m/>
    <m/>
    <m/>
    <n v="-7.62"/>
    <m/>
    <m/>
    <m/>
  </r>
  <r>
    <x v="367"/>
    <m/>
    <x v="37"/>
    <m/>
    <s v="Card charge (FACEBK *5N5L6XUSU2)"/>
    <x v="95"/>
    <m/>
    <m/>
    <m/>
    <m/>
    <m/>
    <n v="-8.75"/>
    <m/>
    <m/>
    <m/>
  </r>
  <r>
    <x v="367"/>
    <m/>
    <x v="37"/>
    <m/>
    <s v="Card charge (FACEBK *AW2C92MSU2)"/>
    <x v="95"/>
    <m/>
    <m/>
    <m/>
    <m/>
    <m/>
    <n v="-9.94"/>
    <m/>
    <m/>
    <m/>
  </r>
  <r>
    <x v="367"/>
    <m/>
    <x v="37"/>
    <m/>
    <s v="Card charge (FACEBK *69GLVXLTU2)"/>
    <x v="95"/>
    <m/>
    <m/>
    <m/>
    <m/>
    <m/>
    <n v="-72"/>
    <m/>
    <m/>
    <m/>
  </r>
  <r>
    <x v="367"/>
    <m/>
    <x v="37"/>
    <m/>
    <s v="Card charge (FACEBK *DY6HAYQSU2)"/>
    <x v="95"/>
    <m/>
    <m/>
    <m/>
    <m/>
    <m/>
    <n v="-5.78"/>
    <m/>
    <m/>
    <m/>
  </r>
  <r>
    <x v="367"/>
    <m/>
    <x v="37"/>
    <m/>
    <s v="Card charge (FACEBK *7XG672MSU2)"/>
    <x v="95"/>
    <m/>
    <m/>
    <m/>
    <m/>
    <m/>
    <n v="-64"/>
    <m/>
    <m/>
    <m/>
  </r>
  <r>
    <x v="367"/>
    <m/>
    <x v="37"/>
    <m/>
    <s v="Card charge (FACEBK *EWGL9YQSU2)"/>
    <x v="95"/>
    <m/>
    <m/>
    <m/>
    <m/>
    <m/>
    <n v="-68"/>
    <m/>
    <m/>
    <m/>
  </r>
  <r>
    <x v="367"/>
    <m/>
    <x v="37"/>
    <m/>
    <s v="Card charge (FACEBK *4XLFYW8TU2)"/>
    <x v="95"/>
    <m/>
    <m/>
    <m/>
    <m/>
    <m/>
    <n v="-6.68"/>
    <m/>
    <m/>
    <m/>
  </r>
  <r>
    <x v="367"/>
    <m/>
    <x v="37"/>
    <m/>
    <s v="Card charge (FACEBK *BZUBYW4TU2)"/>
    <x v="95"/>
    <m/>
    <m/>
    <m/>
    <m/>
    <m/>
    <n v="-4.59"/>
    <m/>
    <m/>
    <m/>
  </r>
  <r>
    <x v="367"/>
    <m/>
    <x v="2"/>
    <s v="SERVIDOR CUENTAS"/>
    <s v="Card charge (hostinger.com)"/>
    <x v="33"/>
    <m/>
    <m/>
    <m/>
    <m/>
    <m/>
    <n v="-13.1"/>
    <m/>
    <m/>
    <m/>
  </r>
  <r>
    <x v="367"/>
    <m/>
    <x v="2"/>
    <m/>
    <s v="Card charge (CURSOR USAGE MID  AUG)"/>
    <x v="161"/>
    <m/>
    <m/>
    <m/>
    <m/>
    <m/>
    <n v="-61.55"/>
    <m/>
    <m/>
    <m/>
  </r>
  <r>
    <x v="368"/>
    <m/>
    <x v="37"/>
    <m/>
    <s v="Card charge (FACEBK *3AF62YYSU2)"/>
    <x v="95"/>
    <m/>
    <m/>
    <m/>
    <m/>
    <m/>
    <n v="-8.98"/>
    <m/>
    <m/>
    <m/>
  </r>
  <r>
    <x v="368"/>
    <m/>
    <x v="37"/>
    <m/>
    <s v="Card charge (FACEBK *26WLC2HTU2)"/>
    <x v="95"/>
    <m/>
    <m/>
    <m/>
    <m/>
    <m/>
    <n v="-140"/>
    <m/>
    <m/>
    <m/>
  </r>
  <r>
    <x v="368"/>
    <m/>
    <x v="37"/>
    <m/>
    <s v="Card charge (FACEBK *VE5GB2MSU2)"/>
    <x v="95"/>
    <m/>
    <m/>
    <m/>
    <m/>
    <m/>
    <n v="-158"/>
    <m/>
    <m/>
    <m/>
  </r>
  <r>
    <x v="368"/>
    <m/>
    <x v="37"/>
    <m/>
    <s v="Card charge (FACEBK *FGB7B2MSU2)"/>
    <x v="95"/>
    <m/>
    <m/>
    <m/>
    <m/>
    <m/>
    <n v="-149"/>
    <m/>
    <m/>
    <m/>
  </r>
  <r>
    <x v="368"/>
    <m/>
    <x v="37"/>
    <m/>
    <s v="Card charge (FACEBK *EP92C2HTU2)"/>
    <x v="95"/>
    <m/>
    <m/>
    <m/>
    <m/>
    <m/>
    <n v="-131"/>
    <m/>
    <m/>
    <m/>
  </r>
  <r>
    <x v="368"/>
    <m/>
    <x v="37"/>
    <m/>
    <s v="Card charge (FACEBK *JWVGB2MSU2)"/>
    <x v="95"/>
    <m/>
    <m/>
    <m/>
    <m/>
    <m/>
    <n v="-12.76"/>
    <m/>
    <m/>
    <m/>
  </r>
  <r>
    <x v="368"/>
    <m/>
    <x v="37"/>
    <m/>
    <s v="Card charge (FACEBK *F3ZGDYQSU2)"/>
    <x v="95"/>
    <m/>
    <m/>
    <m/>
    <m/>
    <m/>
    <n v="-19.010000000000002"/>
    <m/>
    <m/>
    <m/>
  </r>
  <r>
    <x v="368"/>
    <m/>
    <x v="37"/>
    <m/>
    <s v="Card charge (FACEBK *GTXMC2HTU2)"/>
    <x v="95"/>
    <m/>
    <m/>
    <m/>
    <m/>
    <m/>
    <n v="-11.76"/>
    <m/>
    <m/>
    <m/>
  </r>
  <r>
    <x v="368"/>
    <m/>
    <x v="37"/>
    <m/>
    <s v="Card charge (FACEBK *34G5A2MSU2)"/>
    <x v="95"/>
    <m/>
    <m/>
    <m/>
    <m/>
    <m/>
    <n v="-124"/>
    <m/>
    <m/>
    <m/>
  </r>
  <r>
    <x v="368"/>
    <m/>
    <x v="37"/>
    <m/>
    <s v="Card charge (FACEBK *Z9BRKW83D2)"/>
    <x v="95"/>
    <m/>
    <m/>
    <m/>
    <m/>
    <m/>
    <n v="-176.6"/>
    <m/>
    <m/>
    <m/>
  </r>
  <r>
    <x v="368"/>
    <m/>
    <x v="37"/>
    <m/>
    <s v="Card charge (FACEBK *TU93YXYSU2)"/>
    <x v="95"/>
    <m/>
    <m/>
    <m/>
    <m/>
    <m/>
    <n v="-117"/>
    <m/>
    <m/>
    <m/>
  </r>
  <r>
    <x v="368"/>
    <m/>
    <x v="37"/>
    <m/>
    <s v="Card charge (FACEBK *NGHPXXLTU2)"/>
    <x v="95"/>
    <m/>
    <m/>
    <m/>
    <m/>
    <m/>
    <n v="-110"/>
    <m/>
    <m/>
    <m/>
  </r>
  <r>
    <x v="368"/>
    <m/>
    <x v="37"/>
    <m/>
    <s v="Card charge (FACEBK *AFJUXWG3D2)"/>
    <x v="95"/>
    <m/>
    <m/>
    <m/>
    <m/>
    <m/>
    <n v="-4.63"/>
    <m/>
    <m/>
    <m/>
  </r>
  <r>
    <x v="368"/>
    <m/>
    <x v="37"/>
    <m/>
    <s v="Card charge (FACEBK *4CZ2C2HTU2)"/>
    <x v="95"/>
    <m/>
    <m/>
    <m/>
    <m/>
    <m/>
    <n v="-20.97"/>
    <m/>
    <m/>
    <m/>
  </r>
  <r>
    <x v="368"/>
    <m/>
    <x v="37"/>
    <m/>
    <s v="Card charge (FACEBK *QNQ9CYQSU2)"/>
    <x v="95"/>
    <m/>
    <m/>
    <m/>
    <m/>
    <m/>
    <n v="-9.56"/>
    <m/>
    <m/>
    <m/>
  </r>
  <r>
    <x v="368"/>
    <m/>
    <x v="37"/>
    <m/>
    <s v="Card charge (FACEBK *KWK2YXLTU2)"/>
    <x v="95"/>
    <m/>
    <m/>
    <m/>
    <m/>
    <m/>
    <n v="-15.29"/>
    <m/>
    <m/>
    <m/>
  </r>
  <r>
    <x v="368"/>
    <m/>
    <x v="37"/>
    <m/>
    <s v="Card charge (MANYCHAT.COM)"/>
    <x v="81"/>
    <m/>
    <m/>
    <m/>
    <m/>
    <m/>
    <n v="-20"/>
    <m/>
    <m/>
    <m/>
  </r>
  <r>
    <x v="368"/>
    <m/>
    <x v="37"/>
    <m/>
    <s v="Card charge (MANYCHAT.COM)"/>
    <x v="81"/>
    <m/>
    <m/>
    <m/>
    <m/>
    <m/>
    <n v="-20"/>
    <m/>
    <m/>
    <m/>
  </r>
  <r>
    <x v="369"/>
    <m/>
    <x v="37"/>
    <m/>
    <s v="Card charge (FACEBK *UP5LE2HTU2)"/>
    <x v="95"/>
    <m/>
    <m/>
    <m/>
    <m/>
    <m/>
    <n v="-187"/>
    <m/>
    <m/>
    <m/>
  </r>
  <r>
    <x v="369"/>
    <m/>
    <x v="37"/>
    <m/>
    <s v="Card charge (FACEBK *YTQZ6X4TU2)"/>
    <x v="95"/>
    <m/>
    <m/>
    <m/>
    <m/>
    <m/>
    <n v="-15.73"/>
    <m/>
    <m/>
    <m/>
  </r>
  <r>
    <x v="369"/>
    <m/>
    <x v="37"/>
    <m/>
    <s v="Card charge (FACEBK *FV3Y2YYSU2)"/>
    <x v="95"/>
    <m/>
    <m/>
    <m/>
    <m/>
    <m/>
    <n v="-11.41"/>
    <m/>
    <m/>
    <m/>
  </r>
  <r>
    <x v="369"/>
    <m/>
    <x v="37"/>
    <m/>
    <s v="Card charge (FACEBK *5ZPP4X8TU2)"/>
    <x v="95"/>
    <m/>
    <m/>
    <m/>
    <m/>
    <m/>
    <n v="-167"/>
    <m/>
    <m/>
    <m/>
  </r>
  <r>
    <x v="369"/>
    <m/>
    <x v="37"/>
    <m/>
    <s v="Card charge (FACEBK *ZUHF5X4TU2)"/>
    <x v="95"/>
    <m/>
    <m/>
    <m/>
    <m/>
    <m/>
    <n v="-177"/>
    <m/>
    <m/>
    <m/>
  </r>
  <r>
    <x v="369"/>
    <m/>
    <x v="37"/>
    <m/>
    <s v="Card charge (FACEBK *SH9CAXL3D2)"/>
    <x v="95"/>
    <m/>
    <m/>
    <m/>
    <m/>
    <m/>
    <n v="-900"/>
    <m/>
    <m/>
    <m/>
  </r>
  <r>
    <x v="369"/>
    <m/>
    <x v="35"/>
    <m/>
    <s v="Card charge (FACEBK *6EGAZVUW22)"/>
    <x v="95"/>
    <m/>
    <m/>
    <m/>
    <m/>
    <m/>
    <n v="-59.82"/>
    <m/>
    <m/>
    <m/>
  </r>
  <r>
    <x v="369"/>
    <m/>
    <x v="37"/>
    <m/>
    <s v="Card charge (FACEBK *T28UEYQSU2)"/>
    <x v="95"/>
    <m/>
    <m/>
    <m/>
    <m/>
    <m/>
    <n v="-14.93"/>
    <m/>
    <m/>
    <m/>
  </r>
  <r>
    <x v="369"/>
    <m/>
    <x v="37"/>
    <m/>
    <s v="Card charge (MANYCHAT.COM)"/>
    <x v="81"/>
    <m/>
    <m/>
    <m/>
    <m/>
    <m/>
    <n v="-20"/>
    <m/>
    <m/>
    <m/>
  </r>
  <r>
    <x v="369"/>
    <m/>
    <x v="37"/>
    <m/>
    <s v="Card charge (WP MEDIA)"/>
    <x v="185"/>
    <m/>
    <m/>
    <m/>
    <m/>
    <m/>
    <n v="-59"/>
    <m/>
    <m/>
    <m/>
  </r>
  <r>
    <x v="369"/>
    <m/>
    <x v="33"/>
    <m/>
    <s v="Payment from Hotmart"/>
    <x v="152"/>
    <m/>
    <m/>
    <m/>
    <m/>
    <n v="-2965"/>
    <n v="2965.57"/>
    <m/>
    <m/>
    <m/>
  </r>
  <r>
    <x v="370"/>
    <m/>
    <x v="37"/>
    <m/>
    <s v="Card charge (FACEBK *F3FKYXCTU2)"/>
    <x v="95"/>
    <m/>
    <m/>
    <m/>
    <m/>
    <m/>
    <n v="-198"/>
    <m/>
    <m/>
    <m/>
  </r>
  <r>
    <x v="371"/>
    <m/>
    <x v="37"/>
    <m/>
    <s v="Card charge (FACEBK *2UQVH2MSU2)"/>
    <x v="95"/>
    <m/>
    <m/>
    <m/>
    <m/>
    <m/>
    <n v="-197.74"/>
    <m/>
    <m/>
    <m/>
  </r>
  <r>
    <x v="371"/>
    <m/>
    <x v="37"/>
    <m/>
    <s v="Card charge (FACEBK *PLWT6XC3D2)"/>
    <x v="95"/>
    <m/>
    <m/>
    <m/>
    <m/>
    <m/>
    <n v="-900"/>
    <m/>
    <m/>
    <m/>
  </r>
  <r>
    <x v="371"/>
    <m/>
    <x v="35"/>
    <m/>
    <s v="Card charge (FACEBK *MMY2XVCW22)"/>
    <x v="95"/>
    <m/>
    <m/>
    <m/>
    <m/>
    <m/>
    <n v="-60"/>
    <m/>
    <m/>
    <m/>
  </r>
  <r>
    <x v="371"/>
    <m/>
    <x v="37"/>
    <m/>
    <s v="Card charge (MANYCHAT.COM)"/>
    <x v="81"/>
    <m/>
    <m/>
    <m/>
    <m/>
    <m/>
    <n v="-20"/>
    <m/>
    <m/>
    <m/>
  </r>
  <r>
    <x v="371"/>
    <m/>
    <x v="2"/>
    <m/>
    <s v="Card charge (GREATAPPS)"/>
    <x v="143"/>
    <m/>
    <m/>
    <m/>
    <m/>
    <m/>
    <n v="-51.64"/>
    <m/>
    <m/>
    <m/>
  </r>
  <r>
    <x v="372"/>
    <m/>
    <x v="35"/>
    <m/>
    <s v="Card charge (FACEBK *L5EG3WCW22)"/>
    <x v="95"/>
    <m/>
    <m/>
    <m/>
    <m/>
    <m/>
    <n v="-60"/>
    <m/>
    <m/>
    <m/>
  </r>
  <r>
    <x v="372"/>
    <m/>
    <x v="37"/>
    <m/>
    <s v="Card charge (FACEBK *UX5J8X4TU2)"/>
    <x v="95"/>
    <m/>
    <m/>
    <m/>
    <m/>
    <m/>
    <n v="-198"/>
    <m/>
    <m/>
    <m/>
  </r>
  <r>
    <x v="372"/>
    <m/>
    <x v="37"/>
    <m/>
    <s v="Card charge (STREAMYARD.COM)"/>
    <x v="168"/>
    <m/>
    <m/>
    <m/>
    <m/>
    <m/>
    <n v="-10.45"/>
    <m/>
    <m/>
    <m/>
  </r>
  <r>
    <x v="373"/>
    <m/>
    <x v="37"/>
    <m/>
    <s v="Card charge (FACEBK *R3J74YU2D2)"/>
    <x v="95"/>
    <m/>
    <m/>
    <m/>
    <m/>
    <m/>
    <n v="-900"/>
    <m/>
    <m/>
    <m/>
  </r>
  <r>
    <x v="373"/>
    <m/>
    <x v="35"/>
    <m/>
    <s v="Card charge (FACEBK *XVHWCWUW22)"/>
    <x v="95"/>
    <m/>
    <m/>
    <m/>
    <m/>
    <m/>
    <n v="-60"/>
    <m/>
    <m/>
    <m/>
  </r>
  <r>
    <x v="373"/>
    <m/>
    <x v="35"/>
    <m/>
    <s v="Card charge (FACEBK *BHG4DVGW22)"/>
    <x v="95"/>
    <m/>
    <m/>
    <m/>
    <m/>
    <m/>
    <n v="-6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37"/>
    <m/>
    <s v="Card charge (MANYCHAT.COM)"/>
    <x v="81"/>
    <m/>
    <m/>
    <m/>
    <m/>
    <m/>
    <n v="-20"/>
    <m/>
    <m/>
    <m/>
  </r>
  <r>
    <x v="373"/>
    <m/>
    <x v="2"/>
    <m/>
    <s v="Card charge (CURSOR, AI POWERED IDE)"/>
    <x v="161"/>
    <m/>
    <m/>
    <m/>
    <m/>
    <m/>
    <n v="-20"/>
    <m/>
    <m/>
    <m/>
  </r>
  <r>
    <x v="374"/>
    <m/>
    <x v="35"/>
    <m/>
    <s v="Card charge (FACEBK *6X36EWUV22)"/>
    <x v="95"/>
    <m/>
    <m/>
    <m/>
    <m/>
    <m/>
    <n v="-60"/>
    <m/>
    <m/>
    <m/>
  </r>
  <r>
    <x v="374"/>
    <m/>
    <x v="37"/>
    <m/>
    <s v="Card charge (MANYCHAT.COM)"/>
    <x v="81"/>
    <m/>
    <m/>
    <m/>
    <m/>
    <m/>
    <n v="-20"/>
    <m/>
    <m/>
    <m/>
  </r>
  <r>
    <x v="374"/>
    <m/>
    <x v="37"/>
    <m/>
    <s v="Card charge (MANYCHAT.COM)"/>
    <x v="81"/>
    <m/>
    <m/>
    <m/>
    <m/>
    <m/>
    <n v="-20"/>
    <m/>
    <m/>
    <m/>
  </r>
  <r>
    <x v="374"/>
    <m/>
    <x v="37"/>
    <m/>
    <s v="Card charge (MANYCHAT.COM)"/>
    <x v="81"/>
    <m/>
    <m/>
    <m/>
    <m/>
    <m/>
    <n v="-20"/>
    <m/>
    <m/>
    <m/>
  </r>
  <r>
    <x v="374"/>
    <m/>
    <x v="37"/>
    <m/>
    <s v="Card charge (MANYCHAT.COM)"/>
    <x v="81"/>
    <m/>
    <m/>
    <m/>
    <m/>
    <m/>
    <n v="-20"/>
    <m/>
    <m/>
    <m/>
  </r>
  <r>
    <x v="374"/>
    <m/>
    <x v="37"/>
    <m/>
    <s v="Card charge (MANYCHAT.COM)"/>
    <x v="81"/>
    <m/>
    <m/>
    <m/>
    <m/>
    <m/>
    <n v="-20"/>
    <m/>
    <m/>
    <m/>
  </r>
  <r>
    <x v="374"/>
    <m/>
    <x v="37"/>
    <m/>
    <s v="Card charge (MANYCHAT.COM)"/>
    <x v="81"/>
    <m/>
    <m/>
    <m/>
    <m/>
    <m/>
    <n v="-20"/>
    <m/>
    <m/>
    <m/>
  </r>
  <r>
    <x v="374"/>
    <m/>
    <x v="37"/>
    <m/>
    <s v="Card charge (MANYCHAT.COM)"/>
    <x v="81"/>
    <m/>
    <m/>
    <m/>
    <m/>
    <m/>
    <n v="-20"/>
    <m/>
    <m/>
    <m/>
  </r>
  <r>
    <x v="374"/>
    <m/>
    <x v="37"/>
    <m/>
    <s v="Card charge (MANYCHAT.COM)"/>
    <x v="81"/>
    <m/>
    <m/>
    <m/>
    <m/>
    <m/>
    <n v="-20"/>
    <m/>
    <m/>
    <m/>
  </r>
  <r>
    <x v="374"/>
    <m/>
    <x v="37"/>
    <m/>
    <s v="Card charge (MANYCHAT.COM)"/>
    <x v="81"/>
    <m/>
    <m/>
    <m/>
    <m/>
    <m/>
    <n v="-20"/>
    <m/>
    <m/>
    <m/>
  </r>
  <r>
    <x v="374"/>
    <m/>
    <x v="37"/>
    <m/>
    <s v="Card charge (MANYCHAT.COM)"/>
    <x v="81"/>
    <m/>
    <m/>
    <m/>
    <m/>
    <m/>
    <n v="-20"/>
    <m/>
    <m/>
    <m/>
  </r>
  <r>
    <x v="374"/>
    <m/>
    <x v="37"/>
    <m/>
    <s v="Card charge (MANYCHAT.COM)"/>
    <x v="81"/>
    <m/>
    <m/>
    <m/>
    <m/>
    <m/>
    <n v="-20"/>
    <m/>
    <m/>
    <m/>
  </r>
  <r>
    <x v="374"/>
    <m/>
    <x v="37"/>
    <m/>
    <s v="Card charge (MANYCHAT.COM)"/>
    <x v="81"/>
    <m/>
    <m/>
    <m/>
    <m/>
    <m/>
    <n v="-20"/>
    <m/>
    <m/>
    <m/>
  </r>
  <r>
    <x v="374"/>
    <m/>
    <x v="37"/>
    <m/>
    <s v="Card charge (MANYCHAT.COM)"/>
    <x v="81"/>
    <m/>
    <m/>
    <m/>
    <m/>
    <m/>
    <n v="-20"/>
    <m/>
    <m/>
    <m/>
  </r>
  <r>
    <x v="374"/>
    <m/>
    <x v="37"/>
    <m/>
    <s v="Card charge (MANYCHAT.COM)"/>
    <x v="81"/>
    <m/>
    <m/>
    <m/>
    <m/>
    <m/>
    <n v="-20"/>
    <m/>
    <m/>
    <m/>
  </r>
  <r>
    <x v="374"/>
    <m/>
    <x v="37"/>
    <m/>
    <s v="Card charge (MANYCHAT.COM)"/>
    <x v="81"/>
    <m/>
    <m/>
    <m/>
    <m/>
    <m/>
    <n v="-20"/>
    <m/>
    <m/>
    <m/>
  </r>
  <r>
    <x v="374"/>
    <m/>
    <x v="37"/>
    <m/>
    <s v="Card charge (MANYCHAT.COM)"/>
    <x v="81"/>
    <m/>
    <m/>
    <m/>
    <m/>
    <m/>
    <n v="-20"/>
    <m/>
    <m/>
    <m/>
  </r>
  <r>
    <x v="374"/>
    <m/>
    <x v="37"/>
    <m/>
    <s v="Card charge (MANYCHAT.COM)"/>
    <x v="81"/>
    <m/>
    <m/>
    <m/>
    <m/>
    <m/>
    <n v="-20"/>
    <m/>
    <m/>
    <m/>
  </r>
  <r>
    <x v="374"/>
    <m/>
    <x v="37"/>
    <m/>
    <s v="Card charge (ASAAS*DEVZAPP LTDA)"/>
    <x v="80"/>
    <m/>
    <m/>
    <m/>
    <m/>
    <m/>
    <n v="-37.76"/>
    <m/>
    <m/>
    <m/>
  </r>
  <r>
    <x v="375"/>
    <m/>
    <x v="35"/>
    <m/>
    <s v="Card charge (FACEBK *TG7K4W8W22)"/>
    <x v="95"/>
    <m/>
    <m/>
    <m/>
    <m/>
    <m/>
    <n v="-60"/>
    <m/>
    <m/>
    <m/>
  </r>
  <r>
    <x v="375"/>
    <m/>
    <x v="35"/>
    <m/>
    <s v="Card charge (FACEBK *P7MBPV4W22)"/>
    <x v="95"/>
    <m/>
    <m/>
    <m/>
    <m/>
    <m/>
    <n v="-60"/>
    <m/>
    <m/>
    <m/>
  </r>
  <r>
    <x v="375"/>
    <m/>
    <x v="37"/>
    <m/>
    <s v="Card charge (MANYCHAT.COM)"/>
    <x v="81"/>
    <m/>
    <m/>
    <m/>
    <m/>
    <m/>
    <n v="-20"/>
    <m/>
    <m/>
    <m/>
  </r>
  <r>
    <x v="375"/>
    <m/>
    <x v="37"/>
    <m/>
    <s v="Card charge (MANYCHAT.COM)"/>
    <x v="81"/>
    <m/>
    <m/>
    <m/>
    <m/>
    <m/>
    <n v="-20"/>
    <m/>
    <m/>
    <m/>
  </r>
  <r>
    <x v="375"/>
    <m/>
    <x v="37"/>
    <m/>
    <s v="Card charge (MANYCHAT.COM)"/>
    <x v="81"/>
    <m/>
    <m/>
    <m/>
    <m/>
    <m/>
    <n v="-20"/>
    <m/>
    <m/>
    <m/>
  </r>
  <r>
    <x v="375"/>
    <m/>
    <x v="37"/>
    <m/>
    <s v="Card charge (MANYCHAT.COM)"/>
    <x v="81"/>
    <m/>
    <m/>
    <m/>
    <m/>
    <m/>
    <n v="-20"/>
    <m/>
    <m/>
    <m/>
  </r>
  <r>
    <x v="375"/>
    <m/>
    <x v="37"/>
    <m/>
    <s v="Card charge (MANYCHAT.COM)"/>
    <x v="81"/>
    <m/>
    <m/>
    <m/>
    <m/>
    <m/>
    <n v="-20"/>
    <m/>
    <m/>
    <m/>
  </r>
  <r>
    <x v="375"/>
    <m/>
    <x v="37"/>
    <m/>
    <s v="Card charge (MANYCHAT.COM)"/>
    <x v="81"/>
    <m/>
    <m/>
    <m/>
    <m/>
    <m/>
    <n v="-20"/>
    <m/>
    <m/>
    <m/>
  </r>
  <r>
    <x v="375"/>
    <m/>
    <x v="37"/>
    <m/>
    <s v="Card charge (MANYCHAT.COM)"/>
    <x v="81"/>
    <m/>
    <m/>
    <m/>
    <m/>
    <m/>
    <n v="-20"/>
    <m/>
    <m/>
    <m/>
  </r>
  <r>
    <x v="375"/>
    <m/>
    <x v="37"/>
    <m/>
    <s v="Card charge (MANYCHAT.COM)"/>
    <x v="81"/>
    <m/>
    <m/>
    <m/>
    <m/>
    <m/>
    <n v="-20"/>
    <m/>
    <m/>
    <m/>
  </r>
  <r>
    <x v="375"/>
    <m/>
    <x v="37"/>
    <m/>
    <s v="Card charge (MANYCHAT.COM)"/>
    <x v="81"/>
    <m/>
    <m/>
    <m/>
    <m/>
    <m/>
    <n v="-20"/>
    <m/>
    <m/>
    <m/>
  </r>
  <r>
    <x v="375"/>
    <m/>
    <x v="37"/>
    <m/>
    <s v="Card charge (MANYCHAT.COM)"/>
    <x v="81"/>
    <m/>
    <m/>
    <m/>
    <m/>
    <m/>
    <n v="-20"/>
    <m/>
    <m/>
    <m/>
  </r>
  <r>
    <x v="375"/>
    <m/>
    <x v="37"/>
    <m/>
    <s v="Card charge (MANYCHAT.COM)"/>
    <x v="81"/>
    <m/>
    <m/>
    <m/>
    <m/>
    <m/>
    <n v="-20"/>
    <m/>
    <m/>
    <m/>
  </r>
  <r>
    <x v="375"/>
    <m/>
    <x v="37"/>
    <m/>
    <s v="Card charge (MANYCHAT.COM)"/>
    <x v="81"/>
    <m/>
    <m/>
    <m/>
    <m/>
    <m/>
    <n v="-20"/>
    <m/>
    <m/>
    <m/>
  </r>
  <r>
    <x v="375"/>
    <m/>
    <x v="37"/>
    <m/>
    <s v="Card charge (MANYCHAT.COM)"/>
    <x v="81"/>
    <m/>
    <m/>
    <m/>
    <m/>
    <m/>
    <n v="-20"/>
    <m/>
    <m/>
    <m/>
  </r>
  <r>
    <x v="375"/>
    <m/>
    <x v="37"/>
    <m/>
    <s v="Card charge (MANYCHAT.COM)"/>
    <x v="81"/>
    <m/>
    <m/>
    <m/>
    <m/>
    <m/>
    <n v="-20"/>
    <m/>
    <m/>
    <m/>
  </r>
  <r>
    <x v="375"/>
    <m/>
    <x v="37"/>
    <m/>
    <s v="Card charge (MANYCHAT.COM)"/>
    <x v="81"/>
    <m/>
    <m/>
    <m/>
    <m/>
    <m/>
    <n v="-20"/>
    <m/>
    <m/>
    <m/>
  </r>
  <r>
    <x v="375"/>
    <m/>
    <x v="37"/>
    <m/>
    <s v="Card charge (MANYCHAT.COM)"/>
    <x v="81"/>
    <m/>
    <m/>
    <m/>
    <m/>
    <m/>
    <n v="-20"/>
    <m/>
    <m/>
    <m/>
  </r>
  <r>
    <x v="375"/>
    <m/>
    <x v="37"/>
    <m/>
    <s v="Card charge (MANYCHAT.COM)"/>
    <x v="81"/>
    <m/>
    <m/>
    <m/>
    <m/>
    <m/>
    <n v="-20"/>
    <m/>
    <m/>
    <m/>
  </r>
  <r>
    <x v="375"/>
    <m/>
    <x v="37"/>
    <m/>
    <s v="Card charge (MANYCHAT.COM)"/>
    <x v="81"/>
    <m/>
    <m/>
    <m/>
    <m/>
    <m/>
    <n v="-20"/>
    <m/>
    <m/>
    <m/>
  </r>
  <r>
    <x v="375"/>
    <m/>
    <x v="37"/>
    <m/>
    <s v="Card charge (ASAAS*DEVZAPP LTDA)"/>
    <x v="80"/>
    <m/>
    <m/>
    <m/>
    <m/>
    <m/>
    <n v="-37.770000000000003"/>
    <m/>
    <m/>
    <m/>
  </r>
  <r>
    <x v="376"/>
    <m/>
    <x v="37"/>
    <m/>
    <s v="Card charge (FACEBK *TNSTKYQ3D2)"/>
    <x v="95"/>
    <m/>
    <m/>
    <m/>
    <m/>
    <m/>
    <n v="-900"/>
    <m/>
    <m/>
    <m/>
  </r>
  <r>
    <x v="376"/>
    <m/>
    <x v="37"/>
    <m/>
    <s v="Card charge (FACEBK *TGM4MXG3D2)"/>
    <x v="95"/>
    <m/>
    <m/>
    <m/>
    <m/>
    <m/>
    <n v="-900"/>
    <m/>
    <m/>
    <m/>
  </r>
  <r>
    <x v="376"/>
    <m/>
    <x v="35"/>
    <m/>
    <s v="Card charge (FACEBK *2EWSHVYV22)"/>
    <x v="95"/>
    <m/>
    <m/>
    <m/>
    <m/>
    <m/>
    <n v="-60"/>
    <m/>
    <m/>
    <m/>
  </r>
  <r>
    <x v="376"/>
    <m/>
    <x v="37"/>
    <m/>
    <s v="Card charge (FACEBK *BXB5LXG3D2)"/>
    <x v="95"/>
    <m/>
    <m/>
    <m/>
    <m/>
    <m/>
    <n v="-900"/>
    <m/>
    <m/>
    <m/>
  </r>
  <r>
    <x v="376"/>
    <m/>
    <x v="37"/>
    <m/>
    <s v="Card charge (FACEBK *8RYFLYYSU2)"/>
    <x v="95"/>
    <m/>
    <m/>
    <m/>
    <m/>
    <m/>
    <n v="-28.92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37"/>
    <m/>
    <s v="Card charge (MANYCHAT.COM)"/>
    <x v="81"/>
    <m/>
    <m/>
    <m/>
    <m/>
    <m/>
    <n v="-20"/>
    <m/>
    <m/>
    <m/>
  </r>
  <r>
    <x v="376"/>
    <m/>
    <x v="2"/>
    <s v="SERVIDOR ERP"/>
    <s v="Card charge (HOSTINGER* HOSTINGER.C)"/>
    <x v="33"/>
    <m/>
    <m/>
    <m/>
    <m/>
    <m/>
    <n v="-13"/>
    <m/>
    <m/>
    <m/>
  </r>
  <r>
    <x v="376"/>
    <m/>
    <x v="37"/>
    <s v="VPS PUNTAJE"/>
    <s v="Card charge (hostinger.com)"/>
    <x v="33"/>
    <m/>
    <m/>
    <m/>
    <m/>
    <m/>
    <n v="-20.41"/>
    <m/>
    <m/>
    <m/>
  </r>
  <r>
    <x v="377"/>
    <m/>
    <x v="37"/>
    <m/>
    <s v="Card charge (CHATWOOT)"/>
    <x v="186"/>
    <m/>
    <m/>
    <m/>
    <m/>
    <m/>
    <n v="-19"/>
    <m/>
    <m/>
    <m/>
  </r>
  <r>
    <x v="377"/>
    <m/>
    <x v="37"/>
    <m/>
    <s v="Payment to Bancolombia (6138)"/>
    <x v="95"/>
    <m/>
    <m/>
    <m/>
    <m/>
    <m/>
    <n v="-6051.02"/>
    <m/>
    <m/>
    <m/>
  </r>
  <r>
    <x v="378"/>
    <m/>
    <x v="22"/>
    <m/>
    <s v="VENTAS AGOSTO"/>
    <x v="60"/>
    <m/>
    <n v="265"/>
    <m/>
    <m/>
    <m/>
    <m/>
    <m/>
    <m/>
    <m/>
  </r>
  <r>
    <x v="379"/>
    <m/>
    <x v="37"/>
    <m/>
    <s v="Card charge (FACEBK *LBHQSYQ3D2)"/>
    <x v="95"/>
    <m/>
    <m/>
    <m/>
    <m/>
    <m/>
    <n v="-900"/>
    <m/>
    <m/>
    <m/>
  </r>
  <r>
    <x v="379"/>
    <m/>
    <x v="35"/>
    <m/>
    <s v="Card charge (FACEBK *XU4KQWQW22)"/>
    <x v="95"/>
    <m/>
    <m/>
    <m/>
    <m/>
    <m/>
    <n v="-60"/>
    <m/>
    <m/>
    <m/>
  </r>
  <r>
    <x v="379"/>
    <m/>
    <x v="37"/>
    <m/>
    <s v="Card charge (FACEBK *R6AP9YYPX2)"/>
    <x v="95"/>
    <m/>
    <m/>
    <m/>
    <m/>
    <m/>
    <n v="-166.17"/>
    <m/>
    <m/>
    <m/>
  </r>
  <r>
    <x v="379"/>
    <m/>
    <x v="37"/>
    <m/>
    <s v="Card charge (FACEBK *KZ6KBZU3D2)"/>
    <x v="95"/>
    <m/>
    <m/>
    <m/>
    <m/>
    <m/>
    <n v="-900"/>
    <m/>
    <m/>
    <m/>
  </r>
  <r>
    <x v="379"/>
    <m/>
    <x v="35"/>
    <m/>
    <s v="Card charge (FACEBK *XUWMQWUW22)"/>
    <x v="95"/>
    <m/>
    <m/>
    <m/>
    <m/>
    <m/>
    <n v="-60"/>
    <m/>
    <m/>
    <m/>
  </r>
  <r>
    <x v="379"/>
    <m/>
    <x v="37"/>
    <m/>
    <s v="Card charge (FACEBK *H3ZJBXY2D2)"/>
    <x v="95"/>
    <m/>
    <m/>
    <m/>
    <m/>
    <m/>
    <n v="-900"/>
    <m/>
    <m/>
    <m/>
  </r>
  <r>
    <x v="379"/>
    <m/>
    <x v="35"/>
    <m/>
    <s v="Card charge (FACEBK *9A2BQVGW22)"/>
    <x v="95"/>
    <m/>
    <m/>
    <m/>
    <m/>
    <m/>
    <n v="-60"/>
    <m/>
    <m/>
    <m/>
  </r>
  <r>
    <x v="379"/>
    <m/>
    <x v="37"/>
    <m/>
    <s v="Card charge (MANYCHAT.COM)"/>
    <x v="81"/>
    <m/>
    <m/>
    <m/>
    <m/>
    <m/>
    <n v="-20"/>
    <m/>
    <m/>
    <m/>
  </r>
  <r>
    <x v="379"/>
    <m/>
    <x v="37"/>
    <m/>
    <s v="Card charge (DLO*Hotmart)"/>
    <x v="187"/>
    <m/>
    <m/>
    <m/>
    <m/>
    <m/>
    <n v="-108.14"/>
    <m/>
    <m/>
    <m/>
  </r>
  <r>
    <x v="379"/>
    <m/>
    <x v="35"/>
    <m/>
    <s v="VENTAS AL 31 DE AGOSTO"/>
    <x v="60"/>
    <m/>
    <m/>
    <m/>
    <m/>
    <n v="3105"/>
    <m/>
    <m/>
    <m/>
    <m/>
  </r>
  <r>
    <x v="380"/>
    <m/>
    <x v="37"/>
    <m/>
    <s v="Card charge (MANYCHAT.COM)"/>
    <x v="81"/>
    <m/>
    <m/>
    <m/>
    <m/>
    <m/>
    <n v="-20"/>
    <m/>
    <m/>
    <m/>
  </r>
  <r>
    <x v="380"/>
    <m/>
    <x v="37"/>
    <m/>
    <s v="Card charge (STREAMYARD.COM)"/>
    <x v="168"/>
    <m/>
    <m/>
    <m/>
    <m/>
    <m/>
    <n v="-88.99"/>
    <m/>
    <m/>
    <m/>
  </r>
  <r>
    <x v="380"/>
    <m/>
    <x v="2"/>
    <s v="CURSO VEO3"/>
    <s v="Card charge (DLO*Hotmart)"/>
    <x v="153"/>
    <m/>
    <m/>
    <m/>
    <m/>
    <m/>
    <n v="-9.83"/>
    <m/>
    <m/>
    <m/>
  </r>
  <r>
    <x v="380"/>
    <m/>
    <x v="37"/>
    <m/>
    <s v="Card charge (ASAAS*DEVZAPP LTDA)"/>
    <x v="80"/>
    <m/>
    <m/>
    <m/>
    <m/>
    <m/>
    <n v="-28.2"/>
    <m/>
    <m/>
    <m/>
  </r>
  <r>
    <x v="380"/>
    <m/>
    <x v="35"/>
    <m/>
    <s v="Card charge (FACEBK *Z77VWVGW22)"/>
    <x v="95"/>
    <m/>
    <m/>
    <m/>
    <m/>
    <m/>
    <n v="-60"/>
    <m/>
    <m/>
    <m/>
  </r>
  <r>
    <x v="380"/>
    <m/>
    <x v="2"/>
    <m/>
    <s v="PAGO NOMINA AGOSTO"/>
    <x v="141"/>
    <m/>
    <m/>
    <m/>
    <m/>
    <m/>
    <n v="-2858"/>
    <m/>
    <m/>
    <m/>
  </r>
  <r>
    <x v="380"/>
    <m/>
    <x v="30"/>
    <m/>
    <s v="PAGO DEUDA VCAPITAL"/>
    <x v="188"/>
    <m/>
    <m/>
    <m/>
    <m/>
    <m/>
    <n v="-268"/>
    <m/>
    <m/>
    <m/>
  </r>
  <r>
    <x v="381"/>
    <m/>
    <x v="35"/>
    <m/>
    <s v="Card charge (FACEBK *UQQ7QWCW22)"/>
    <x v="95"/>
    <m/>
    <m/>
    <m/>
    <m/>
    <m/>
    <n v="-60"/>
    <m/>
    <m/>
    <m/>
  </r>
  <r>
    <x v="381"/>
    <m/>
    <x v="22"/>
    <m/>
    <s v="Card charge (ASAAS*DEVZAPP LTDA)"/>
    <x v="80"/>
    <m/>
    <m/>
    <m/>
    <m/>
    <m/>
    <n v="-28.2"/>
    <m/>
    <m/>
    <m/>
  </r>
  <r>
    <x v="382"/>
    <m/>
    <x v="35"/>
    <m/>
    <s v="Card charge (FACEBK *RWQJVVLW22)"/>
    <x v="95"/>
    <m/>
    <m/>
    <m/>
    <m/>
    <m/>
    <n v="-60"/>
    <m/>
    <m/>
    <m/>
  </r>
  <r>
    <x v="382"/>
    <m/>
    <x v="35"/>
    <m/>
    <s v="Card charge (FACEBK *HGFMYWUV22)"/>
    <x v="95"/>
    <m/>
    <m/>
    <m/>
    <m/>
    <m/>
    <n v="-60"/>
    <m/>
    <m/>
    <m/>
  </r>
  <r>
    <x v="382"/>
    <m/>
    <x v="2"/>
    <m/>
    <s v="Card charge (CLAUDE.AI SUBSCRIPTION)"/>
    <x v="176"/>
    <m/>
    <m/>
    <m/>
    <m/>
    <m/>
    <n v="-20"/>
    <m/>
    <m/>
    <m/>
  </r>
  <r>
    <x v="383"/>
    <m/>
    <x v="35"/>
    <m/>
    <s v="Card charge (FACEBK *TDJX2WYV22)"/>
    <x v="95"/>
    <m/>
    <m/>
    <m/>
    <m/>
    <m/>
    <n v="-60"/>
    <m/>
    <m/>
    <m/>
  </r>
  <r>
    <x v="383"/>
    <m/>
    <x v="2"/>
    <m/>
    <s v="Card charge (BOLT (BY STACKBLITZ))"/>
    <x v="149"/>
    <m/>
    <m/>
    <m/>
    <m/>
    <m/>
    <n v="-20"/>
    <m/>
    <m/>
    <m/>
  </r>
  <r>
    <x v="383"/>
    <m/>
    <x v="2"/>
    <m/>
    <s v="Card charge (COCOCUT)"/>
    <x v="189"/>
    <m/>
    <m/>
    <m/>
    <m/>
    <m/>
    <n v="-10"/>
    <m/>
    <m/>
    <m/>
  </r>
  <r>
    <x v="383"/>
    <m/>
    <x v="2"/>
    <m/>
    <s v="Card charge (DLO*GOOGLE Google One)"/>
    <x v="183"/>
    <m/>
    <m/>
    <m/>
    <m/>
    <m/>
    <n v="-28.82"/>
    <m/>
    <m/>
    <m/>
  </r>
  <r>
    <x v="384"/>
    <m/>
    <x v="35"/>
    <m/>
    <s v="Card charge (FACEBK *9LG64XCW22)"/>
    <x v="95"/>
    <m/>
    <m/>
    <m/>
    <m/>
    <m/>
    <n v="-60"/>
    <m/>
    <m/>
    <m/>
  </r>
  <r>
    <x v="384"/>
    <m/>
    <x v="35"/>
    <m/>
    <s v="Card charge (FACEBK *NE9M4WLW22)"/>
    <x v="95"/>
    <m/>
    <m/>
    <m/>
    <m/>
    <m/>
    <n v="-60"/>
    <m/>
    <m/>
    <m/>
  </r>
  <r>
    <x v="384"/>
    <m/>
    <x v="35"/>
    <m/>
    <s v="Card charge (FACEBK *LYV47XQW22)"/>
    <x v="95"/>
    <m/>
    <m/>
    <m/>
    <m/>
    <m/>
    <n v="-60"/>
    <m/>
    <m/>
    <m/>
  </r>
  <r>
    <x v="384"/>
    <m/>
    <x v="35"/>
    <m/>
    <s v="Card charge (FACEBK *Q2586WYV22)"/>
    <x v="95"/>
    <m/>
    <m/>
    <m/>
    <m/>
    <m/>
    <n v="-60"/>
    <m/>
    <m/>
    <m/>
  </r>
  <r>
    <x v="384"/>
    <m/>
    <x v="35"/>
    <m/>
    <s v="Card charge (FACEBK *VB2B9WGW22)"/>
    <x v="95"/>
    <m/>
    <m/>
    <m/>
    <m/>
    <m/>
    <n v="-60"/>
    <m/>
    <m/>
    <m/>
  </r>
  <r>
    <x v="384"/>
    <m/>
    <x v="37"/>
    <s v="HOSTING"/>
    <s v="Card charge (HOSTINGER* HOSTINGER.C)"/>
    <x v="33"/>
    <m/>
    <m/>
    <m/>
    <m/>
    <m/>
    <n v="-14.24"/>
    <m/>
    <m/>
    <m/>
  </r>
  <r>
    <x v="385"/>
    <m/>
    <x v="35"/>
    <m/>
    <s v="Card charge (FACEBK *66BH6WLW22)"/>
    <x v="95"/>
    <m/>
    <m/>
    <m/>
    <m/>
    <m/>
    <n v="-60"/>
    <m/>
    <m/>
    <m/>
  </r>
  <r>
    <x v="385"/>
    <m/>
    <x v="35"/>
    <m/>
    <s v="Card charge (FACEBK *M6PHAWYV22)"/>
    <x v="95"/>
    <m/>
    <m/>
    <m/>
    <m/>
    <m/>
    <n v="-60"/>
    <m/>
    <m/>
    <m/>
  </r>
  <r>
    <x v="385"/>
    <m/>
    <x v="35"/>
    <m/>
    <s v="Card charge (FACEBK *EXSZ9WYV22)"/>
    <x v="95"/>
    <m/>
    <m/>
    <m/>
    <m/>
    <m/>
    <n v="-60"/>
    <m/>
    <m/>
    <m/>
  </r>
  <r>
    <x v="385"/>
    <m/>
    <x v="2"/>
    <m/>
    <s v="Card charge (CURSOR USAGE  AUG)"/>
    <x v="161"/>
    <m/>
    <m/>
    <m/>
    <m/>
    <m/>
    <n v="-13.09"/>
    <m/>
    <m/>
    <m/>
  </r>
  <r>
    <x v="385"/>
    <m/>
    <x v="37"/>
    <m/>
    <s v="Card charge (FLODESK.COM)"/>
    <x v="90"/>
    <m/>
    <m/>
    <m/>
    <m/>
    <m/>
    <n v="-38"/>
    <m/>
    <m/>
    <m/>
  </r>
  <r>
    <x v="385"/>
    <m/>
    <x v="37"/>
    <m/>
    <s v="Card charge (MANYCHAT.COM)"/>
    <x v="81"/>
    <m/>
    <m/>
    <m/>
    <m/>
    <m/>
    <n v="-268.41000000000003"/>
    <m/>
    <m/>
    <m/>
  </r>
  <r>
    <x v="386"/>
    <m/>
    <x v="35"/>
    <m/>
    <s v="Card charge (FACEBK *TA6HEXUW22)"/>
    <x v="95"/>
    <m/>
    <m/>
    <m/>
    <m/>
    <m/>
    <n v="-60"/>
    <m/>
    <m/>
    <m/>
  </r>
  <r>
    <x v="386"/>
    <m/>
    <x v="35"/>
    <m/>
    <s v="Card charge (FACEBK *EEQGCXQW22)"/>
    <x v="95"/>
    <m/>
    <m/>
    <m/>
    <m/>
    <m/>
    <n v="-60"/>
    <m/>
    <m/>
    <m/>
  </r>
  <r>
    <x v="386"/>
    <m/>
    <x v="35"/>
    <m/>
    <s v="Card charge (FACEBK *5E96DXUV22)"/>
    <x v="95"/>
    <m/>
    <m/>
    <m/>
    <m/>
    <m/>
    <n v="-60"/>
    <m/>
    <m/>
    <m/>
  </r>
  <r>
    <x v="386"/>
    <m/>
    <x v="2"/>
    <s v="VPS N8N"/>
    <s v="Card charge (HOSTINGER* HOSTINGER.C)"/>
    <x v="33"/>
    <m/>
    <m/>
    <m/>
    <m/>
    <m/>
    <n v="-15.02"/>
    <m/>
    <m/>
    <m/>
  </r>
  <r>
    <x v="386"/>
    <m/>
    <x v="2"/>
    <s v="CURSO ADS"/>
    <s v="Card charge (SCALABY MEDIA LLC)"/>
    <x v="153"/>
    <m/>
    <m/>
    <m/>
    <m/>
    <m/>
    <n v="-97"/>
    <m/>
    <m/>
    <m/>
  </r>
  <r>
    <x v="386"/>
    <m/>
    <x v="2"/>
    <s v="CURSO ADS"/>
    <s v="Card charge (SCALABY MEDIA LLC)"/>
    <x v="153"/>
    <m/>
    <m/>
    <m/>
    <m/>
    <m/>
    <n v="-54"/>
    <m/>
    <m/>
    <m/>
  </r>
  <r>
    <x v="387"/>
    <m/>
    <x v="35"/>
    <m/>
    <s v="Card charge (FACEBK *J2V6CWLW22)"/>
    <x v="95"/>
    <m/>
    <m/>
    <m/>
    <m/>
    <m/>
    <n v="-60"/>
    <m/>
    <m/>
    <m/>
  </r>
  <r>
    <x v="387"/>
    <m/>
    <x v="35"/>
    <m/>
    <s v="Card charge (FACEBK *C8ARGXUV22)"/>
    <x v="95"/>
    <m/>
    <m/>
    <m/>
    <m/>
    <m/>
    <n v="-60"/>
    <m/>
    <m/>
    <m/>
  </r>
  <r>
    <x v="387"/>
    <m/>
    <x v="35"/>
    <m/>
    <s v="Card charge (FACEBK *P4PKFXUV22)"/>
    <x v="95"/>
    <m/>
    <m/>
    <m/>
    <m/>
    <m/>
    <n v="-60"/>
    <m/>
    <m/>
    <m/>
  </r>
  <r>
    <x v="387"/>
    <m/>
    <x v="37"/>
    <s v="HOSTING"/>
    <s v="Card charge (hostinger.com)"/>
    <x v="33"/>
    <m/>
    <m/>
    <m/>
    <m/>
    <m/>
    <n v="-62.96"/>
    <m/>
    <m/>
    <m/>
  </r>
  <r>
    <x v="388"/>
    <m/>
    <x v="35"/>
    <m/>
    <s v="Card charge (FACEBK *CNN9HXQW22)"/>
    <x v="95"/>
    <m/>
    <m/>
    <m/>
    <m/>
    <m/>
    <n v="-60"/>
    <m/>
    <m/>
    <m/>
  </r>
  <r>
    <x v="388"/>
    <m/>
    <x v="35"/>
    <m/>
    <s v="Card charge (FACEBK *QS6YLWGW22)"/>
    <x v="95"/>
    <m/>
    <m/>
    <m/>
    <m/>
    <m/>
    <n v="-60"/>
    <m/>
    <m/>
    <m/>
  </r>
  <r>
    <x v="389"/>
    <m/>
    <x v="35"/>
    <m/>
    <s v="Card charge (FACEBK *5TUE8X8W22)"/>
    <x v="95"/>
    <m/>
    <m/>
    <m/>
    <m/>
    <m/>
    <n v="-60"/>
    <m/>
    <m/>
    <m/>
  </r>
  <r>
    <x v="389"/>
    <m/>
    <x v="35"/>
    <m/>
    <s v="Card charge (FACEBK *2XEBEXCW22)"/>
    <x v="95"/>
    <m/>
    <m/>
    <m/>
    <m/>
    <m/>
    <n v="-60"/>
    <m/>
    <m/>
    <m/>
  </r>
  <r>
    <x v="390"/>
    <m/>
    <x v="35"/>
    <m/>
    <s v="Card charge (FACEBK *FKN7WW4W22)"/>
    <x v="95"/>
    <m/>
    <m/>
    <m/>
    <m/>
    <m/>
    <n v="-60"/>
    <m/>
    <m/>
    <m/>
  </r>
  <r>
    <x v="391"/>
    <m/>
    <x v="35"/>
    <m/>
    <s v="Card charge (FACEBK *PAGJVWGW22)"/>
    <x v="95"/>
    <m/>
    <m/>
    <m/>
    <m/>
    <m/>
    <n v="-60"/>
    <m/>
    <m/>
    <m/>
  </r>
  <r>
    <x v="391"/>
    <m/>
    <x v="35"/>
    <m/>
    <s v="Card charge (FACEBK *8CNTSXUW22)"/>
    <x v="95"/>
    <m/>
    <m/>
    <m/>
    <m/>
    <m/>
    <n v="-60"/>
    <m/>
    <m/>
    <m/>
  </r>
  <r>
    <x v="391"/>
    <m/>
    <x v="35"/>
    <m/>
    <s v="Card charge (FACEBK *2KCKPWYV22)"/>
    <x v="95"/>
    <m/>
    <m/>
    <m/>
    <m/>
    <m/>
    <n v="-60"/>
    <m/>
    <m/>
    <m/>
  </r>
  <r>
    <x v="391"/>
    <m/>
    <x v="35"/>
    <m/>
    <s v="Card charge (FACEBK *9Y4NQXUV22)"/>
    <x v="95"/>
    <m/>
    <m/>
    <m/>
    <m/>
    <m/>
    <n v="-60"/>
    <m/>
    <m/>
    <m/>
  </r>
  <r>
    <x v="391"/>
    <m/>
    <x v="35"/>
    <m/>
    <s v="Card charge (FACEBK *MWVUJWLW22)"/>
    <x v="95"/>
    <m/>
    <m/>
    <m/>
    <m/>
    <m/>
    <n v="-60"/>
    <m/>
    <m/>
    <m/>
  </r>
  <r>
    <x v="391"/>
    <m/>
    <x v="37"/>
    <s v="VPS N8N"/>
    <s v="Card charge (HOSTINGER* HOSTINGER.C)"/>
    <x v="33"/>
    <m/>
    <m/>
    <m/>
    <m/>
    <m/>
    <n v="-18.54"/>
    <m/>
    <m/>
    <m/>
  </r>
  <r>
    <x v="391"/>
    <m/>
    <x v="39"/>
    <m/>
    <s v="Card charge (FLODESK.COM)"/>
    <x v="90"/>
    <m/>
    <m/>
    <m/>
    <m/>
    <m/>
    <n v="-38"/>
    <m/>
    <m/>
    <m/>
  </r>
  <r>
    <x v="392"/>
    <m/>
    <x v="35"/>
    <m/>
    <s v="Card charge (FACEBK *6E9NTWYV22)"/>
    <x v="95"/>
    <m/>
    <m/>
    <m/>
    <m/>
    <m/>
    <n v="-60"/>
    <m/>
    <m/>
    <m/>
  </r>
  <r>
    <x v="392"/>
    <m/>
    <x v="35"/>
    <m/>
    <s v="Card charge (FACEBK *E5RLPWLW22)"/>
    <x v="95"/>
    <m/>
    <m/>
    <m/>
    <m/>
    <m/>
    <n v="-60"/>
    <m/>
    <m/>
    <m/>
  </r>
  <r>
    <x v="393"/>
    <m/>
    <x v="35"/>
    <m/>
    <s v="Card charge (FACEBK *K8X5XXUV22)"/>
    <x v="95"/>
    <m/>
    <m/>
    <m/>
    <m/>
    <m/>
    <n v="-60"/>
    <m/>
    <m/>
    <m/>
  </r>
  <r>
    <x v="394"/>
    <m/>
    <x v="35"/>
    <m/>
    <s v="Card charge (FACEBK *Y73WXWYV22)"/>
    <x v="95"/>
    <m/>
    <m/>
    <m/>
    <m/>
    <m/>
    <n v="-60"/>
    <m/>
    <m/>
    <m/>
  </r>
  <r>
    <x v="394"/>
    <m/>
    <x v="35"/>
    <m/>
    <s v="Card charge (FACEBK *V46GWWYV22)"/>
    <x v="95"/>
    <m/>
    <m/>
    <m/>
    <m/>
    <m/>
    <n v="-60"/>
    <m/>
    <m/>
    <m/>
  </r>
  <r>
    <x v="395"/>
    <m/>
    <x v="35"/>
    <m/>
    <s v="Card charge (FACEBK *22R84YUW22)"/>
    <x v="95"/>
    <m/>
    <m/>
    <m/>
    <m/>
    <m/>
    <n v="-60"/>
    <m/>
    <m/>
    <m/>
  </r>
  <r>
    <x v="395"/>
    <m/>
    <x v="35"/>
    <m/>
    <s v="Card charge (FACEBK *GVMUBX4W22)"/>
    <x v="95"/>
    <m/>
    <m/>
    <m/>
    <m/>
    <m/>
    <n v="-60"/>
    <m/>
    <m/>
    <m/>
  </r>
  <r>
    <x v="395"/>
    <m/>
    <x v="35"/>
    <m/>
    <s v="Card charge (FACEBK *VW33NX8W22)"/>
    <x v="95"/>
    <m/>
    <m/>
    <m/>
    <m/>
    <m/>
    <n v="-2.15"/>
    <m/>
    <m/>
    <m/>
  </r>
  <r>
    <x v="395"/>
    <m/>
    <x v="35"/>
    <m/>
    <s v="Card charge (FACEBK *ZK6AAX4W22)"/>
    <x v="95"/>
    <m/>
    <m/>
    <m/>
    <m/>
    <m/>
    <n v="-60"/>
    <m/>
    <m/>
    <m/>
  </r>
  <r>
    <x v="396"/>
    <m/>
    <x v="35"/>
    <m/>
    <s v="Card charge (FACEBK *B98M5XYV22)"/>
    <x v="95"/>
    <m/>
    <m/>
    <m/>
    <m/>
    <m/>
    <n v="-60"/>
    <m/>
    <m/>
    <m/>
  </r>
  <r>
    <x v="396"/>
    <m/>
    <x v="35"/>
    <m/>
    <s v="Card charge (FACEBK *86TCZWLW22)"/>
    <x v="95"/>
    <m/>
    <m/>
    <m/>
    <m/>
    <m/>
    <n v="-60"/>
    <m/>
    <m/>
    <m/>
  </r>
  <r>
    <x v="396"/>
    <m/>
    <x v="35"/>
    <m/>
    <s v="Card charge (FACEBK *THRH4YQW22)"/>
    <x v="95"/>
    <m/>
    <m/>
    <m/>
    <m/>
    <m/>
    <n v="-60"/>
    <m/>
    <m/>
    <m/>
  </r>
  <r>
    <x v="396"/>
    <m/>
    <x v="35"/>
    <m/>
    <s v="Card charge (FACEBK *DGNQ3YQW22)"/>
    <x v="95"/>
    <m/>
    <m/>
    <m/>
    <m/>
    <m/>
    <n v="-60"/>
    <m/>
    <m/>
    <m/>
  </r>
  <r>
    <x v="396"/>
    <m/>
    <x v="35"/>
    <m/>
    <s v="Card charge (FACEBK *622U7XGW22)"/>
    <x v="95"/>
    <m/>
    <m/>
    <m/>
    <m/>
    <m/>
    <n v="-60"/>
    <m/>
    <m/>
    <m/>
  </r>
  <r>
    <x v="396"/>
    <m/>
    <x v="35"/>
    <m/>
    <s v="Card charge (FACEBK *T3CUXWLW22)"/>
    <x v="95"/>
    <m/>
    <m/>
    <m/>
    <m/>
    <m/>
    <n v="-60"/>
    <m/>
    <m/>
    <m/>
  </r>
  <r>
    <x v="396"/>
    <m/>
    <x v="37"/>
    <m/>
    <s v="Card charge (OPENAI *CHATGPT SUBSCR)"/>
    <x v="167"/>
    <m/>
    <m/>
    <m/>
    <m/>
    <m/>
    <n v="-20"/>
    <m/>
    <m/>
    <m/>
  </r>
  <r>
    <x v="397"/>
    <m/>
    <x v="35"/>
    <m/>
    <s v="Card charge (FACEBK *VGTVFX4W22)"/>
    <x v="95"/>
    <m/>
    <m/>
    <m/>
    <m/>
    <m/>
    <n v="-60"/>
    <m/>
    <m/>
    <m/>
  </r>
  <r>
    <x v="397"/>
    <m/>
    <x v="12"/>
    <m/>
    <s v="Payment from Hotmart"/>
    <x v="190"/>
    <m/>
    <m/>
    <m/>
    <m/>
    <n v="-56997"/>
    <n v="56997"/>
    <m/>
    <m/>
    <m/>
  </r>
  <r>
    <x v="397"/>
    <m/>
    <x v="37"/>
    <m/>
    <s v="Card charge (HEYGEN TECHNOLOGY INC.)"/>
    <x v="191"/>
    <m/>
    <m/>
    <m/>
    <m/>
    <m/>
    <n v="-29"/>
    <m/>
    <m/>
    <m/>
  </r>
  <r>
    <x v="398"/>
    <m/>
    <x v="35"/>
    <m/>
    <s v="Card charge (FACEBK *V89KL2VUQ2)"/>
    <x v="95"/>
    <m/>
    <m/>
    <m/>
    <m/>
    <m/>
    <n v="-9"/>
    <m/>
    <m/>
    <m/>
  </r>
  <r>
    <x v="398"/>
    <m/>
    <x v="35"/>
    <m/>
    <s v="Card charge (FACEBK *49CH525VQ2)"/>
    <x v="95"/>
    <m/>
    <m/>
    <m/>
    <m/>
    <m/>
    <n v="-8"/>
    <m/>
    <m/>
    <m/>
  </r>
  <r>
    <x v="398"/>
    <m/>
    <x v="35"/>
    <m/>
    <s v="Card charge (FACEBK *8ZLXBYUW22)"/>
    <x v="95"/>
    <m/>
    <m/>
    <m/>
    <m/>
    <m/>
    <n v="-60"/>
    <m/>
    <m/>
    <m/>
  </r>
  <r>
    <x v="398"/>
    <m/>
    <x v="35"/>
    <m/>
    <s v="Card charge (FACEBK *5W8L9XYV22)"/>
    <x v="95"/>
    <m/>
    <m/>
    <m/>
    <m/>
    <m/>
    <n v="-60"/>
    <m/>
    <m/>
    <m/>
  </r>
  <r>
    <x v="398"/>
    <m/>
    <x v="35"/>
    <m/>
    <s v="Card charge (FACEBK *U4DDCYUW22)"/>
    <x v="95"/>
    <m/>
    <m/>
    <m/>
    <m/>
    <m/>
    <n v="-60"/>
    <m/>
    <m/>
    <m/>
  </r>
  <r>
    <x v="398"/>
    <m/>
    <x v="35"/>
    <m/>
    <s v="Card charge (FACEBK *95GW829VQ2)"/>
    <x v="95"/>
    <m/>
    <m/>
    <m/>
    <m/>
    <m/>
    <n v="-7"/>
    <m/>
    <m/>
    <m/>
  </r>
  <r>
    <x v="398"/>
    <m/>
    <x v="35"/>
    <m/>
    <s v="Card charge (FACEBK *HCADL3DUQ2)"/>
    <x v="95"/>
    <m/>
    <m/>
    <m/>
    <m/>
    <m/>
    <n v="-6"/>
    <m/>
    <m/>
    <m/>
  </r>
  <r>
    <x v="398"/>
    <m/>
    <x v="35"/>
    <m/>
    <s v="Card charge (FACEBK *TD8EY2HUQ2)"/>
    <x v="95"/>
    <m/>
    <m/>
    <m/>
    <m/>
    <m/>
    <n v="-5"/>
    <m/>
    <m/>
    <m/>
  </r>
  <r>
    <x v="398"/>
    <m/>
    <x v="35"/>
    <m/>
    <s v="Card charge (FACEBK *L4GE829VQ2)"/>
    <x v="95"/>
    <m/>
    <m/>
    <m/>
    <m/>
    <m/>
    <n v="-4"/>
    <m/>
    <m/>
    <m/>
  </r>
  <r>
    <x v="398"/>
    <m/>
    <x v="35"/>
    <m/>
    <s v="Card charge (FACEBK *JKBP425VQ2)"/>
    <x v="95"/>
    <m/>
    <m/>
    <m/>
    <m/>
    <m/>
    <n v="-3"/>
    <m/>
    <m/>
    <m/>
  </r>
  <r>
    <x v="398"/>
    <m/>
    <x v="35"/>
    <m/>
    <s v="Card charge (FACEBK *GMLDJX4W22)"/>
    <x v="95"/>
    <m/>
    <m/>
    <m/>
    <m/>
    <m/>
    <n v="-60"/>
    <m/>
    <m/>
    <m/>
  </r>
  <r>
    <x v="398"/>
    <m/>
    <x v="37"/>
    <m/>
    <s v="Card charge (FACEBK *2SK5LZL3D2)"/>
    <x v="95"/>
    <m/>
    <m/>
    <m/>
    <m/>
    <m/>
    <n v="-499.37"/>
    <m/>
    <m/>
    <m/>
  </r>
  <r>
    <x v="398"/>
    <m/>
    <x v="35"/>
    <m/>
    <s v="Card charge (FACEBK *V4PY3YCW22)"/>
    <x v="95"/>
    <m/>
    <m/>
    <m/>
    <m/>
    <m/>
    <n v="-60"/>
    <m/>
    <m/>
    <m/>
  </r>
  <r>
    <x v="398"/>
    <m/>
    <x v="35"/>
    <m/>
    <s v="Card charge (FACEBK *LM46J3DUQ2)"/>
    <x v="95"/>
    <m/>
    <m/>
    <m/>
    <m/>
    <m/>
    <n v="-2"/>
    <m/>
    <m/>
    <m/>
  </r>
  <r>
    <x v="398"/>
    <m/>
    <x v="35"/>
    <m/>
    <s v="Card charge (FACEBK *T8PE4XLW22)"/>
    <x v="95"/>
    <m/>
    <m/>
    <m/>
    <m/>
    <m/>
    <n v="-60"/>
    <m/>
    <m/>
    <m/>
  </r>
  <r>
    <x v="398"/>
    <m/>
    <x v="35"/>
    <m/>
    <s v="Card charge (FACEBK *E5RFGX4W22)"/>
    <x v="95"/>
    <m/>
    <m/>
    <m/>
    <m/>
    <m/>
    <n v="-60"/>
    <m/>
    <m/>
    <m/>
  </r>
  <r>
    <x v="398"/>
    <m/>
    <x v="37"/>
    <s v="VPS PUNTAJE"/>
    <s v="Card charge (HOSTINGER* HOSTINGER.C)"/>
    <x v="33"/>
    <m/>
    <m/>
    <m/>
    <m/>
    <m/>
    <n v="-13.54"/>
    <m/>
    <m/>
    <m/>
  </r>
  <r>
    <x v="399"/>
    <m/>
    <x v="35"/>
    <m/>
    <s v="Card charge (FACEBK *HTTLEYUV22)"/>
    <x v="95"/>
    <m/>
    <m/>
    <m/>
    <m/>
    <m/>
    <n v="-60"/>
    <m/>
    <m/>
    <m/>
  </r>
  <r>
    <x v="399"/>
    <m/>
    <x v="35"/>
    <m/>
    <s v="Card charge (FACEBK *VE9BP3DUQ2)"/>
    <x v="95"/>
    <m/>
    <m/>
    <m/>
    <m/>
    <m/>
    <n v="-14"/>
    <m/>
    <m/>
    <m/>
  </r>
  <r>
    <x v="399"/>
    <m/>
    <x v="35"/>
    <m/>
    <s v="Card charge (FACEBK *9UJS7YCW22)"/>
    <x v="95"/>
    <m/>
    <m/>
    <m/>
    <m/>
    <m/>
    <n v="-60"/>
    <m/>
    <m/>
    <m/>
  </r>
  <r>
    <x v="399"/>
    <m/>
    <x v="35"/>
    <m/>
    <s v="Card charge (FACEBK *6E5T73MUQ2)"/>
    <x v="95"/>
    <m/>
    <m/>
    <m/>
    <m/>
    <m/>
    <n v="-12"/>
    <m/>
    <m/>
    <m/>
  </r>
  <r>
    <x v="399"/>
    <m/>
    <x v="35"/>
    <m/>
    <s v="Card charge (FACEBK *6ZXB7YCW22)"/>
    <x v="95"/>
    <m/>
    <m/>
    <m/>
    <m/>
    <m/>
    <n v="-60"/>
    <m/>
    <m/>
    <m/>
  </r>
  <r>
    <x v="399"/>
    <m/>
    <x v="35"/>
    <m/>
    <s v="Card charge (FACEBK *BVTMZ2HUQ2)"/>
    <x v="95"/>
    <m/>
    <m/>
    <m/>
    <m/>
    <m/>
    <n v="-11"/>
    <m/>
    <m/>
    <m/>
  </r>
  <r>
    <x v="399"/>
    <m/>
    <x v="35"/>
    <m/>
    <s v="Card charge (FACEBK *YXND6YCW22)"/>
    <x v="95"/>
    <m/>
    <m/>
    <m/>
    <m/>
    <m/>
    <n v="-60"/>
    <m/>
    <m/>
    <m/>
  </r>
  <r>
    <x v="399"/>
    <m/>
    <x v="35"/>
    <m/>
    <s v="Card charge (FACEBK *VDSQL2VUQ2)"/>
    <x v="95"/>
    <m/>
    <m/>
    <m/>
    <m/>
    <m/>
    <n v="-10"/>
    <m/>
    <m/>
    <m/>
  </r>
  <r>
    <x v="400"/>
    <m/>
    <x v="35"/>
    <m/>
    <s v="Card charge (FACEBK *A87BR2VUQ2)"/>
    <x v="95"/>
    <m/>
    <m/>
    <m/>
    <m/>
    <m/>
    <n v="-18"/>
    <m/>
    <m/>
    <m/>
  </r>
  <r>
    <x v="400"/>
    <m/>
    <x v="35"/>
    <m/>
    <s v="Card charge (FACEBK *Y9HQPX4W22)"/>
    <x v="95"/>
    <m/>
    <m/>
    <m/>
    <m/>
    <m/>
    <n v="-60"/>
    <m/>
    <m/>
    <m/>
  </r>
  <r>
    <x v="400"/>
    <m/>
    <x v="35"/>
    <m/>
    <s v="Card charge (FACEBK *RB8AKXGW22)"/>
    <x v="95"/>
    <m/>
    <m/>
    <m/>
    <m/>
    <m/>
    <n v="-60"/>
    <m/>
    <m/>
    <m/>
  </r>
  <r>
    <x v="400"/>
    <m/>
    <x v="35"/>
    <m/>
    <s v="Card charge (FACEBK *RUVRH2DVQ2)"/>
    <x v="95"/>
    <m/>
    <m/>
    <m/>
    <m/>
    <m/>
    <n v="-16"/>
    <m/>
    <m/>
    <m/>
  </r>
  <r>
    <x v="400"/>
    <m/>
    <x v="35"/>
    <m/>
    <s v="Card charge (FACEBK *578X9XLW22)"/>
    <x v="95"/>
    <m/>
    <m/>
    <m/>
    <m/>
    <m/>
    <n v="-60"/>
    <m/>
    <m/>
    <m/>
  </r>
  <r>
    <x v="400"/>
    <m/>
    <x v="2"/>
    <s v="CURSOR PLATAFORMAS"/>
    <s v="Card charge (CURSOR USAGE MID  SEP)"/>
    <x v="161"/>
    <m/>
    <m/>
    <m/>
    <m/>
    <m/>
    <n v="-80.59"/>
    <m/>
    <m/>
    <m/>
  </r>
  <r>
    <x v="401"/>
    <m/>
    <x v="35"/>
    <m/>
    <s v="Card charge (FACEBK *Y25DSX4W22)"/>
    <x v="95"/>
    <m/>
    <m/>
    <m/>
    <m/>
    <m/>
    <n v="-60"/>
    <m/>
    <m/>
    <m/>
  </r>
  <r>
    <x v="401"/>
    <m/>
    <x v="35"/>
    <m/>
    <s v="Card charge (FACEBK *LL6USX4W22)"/>
    <x v="95"/>
    <m/>
    <m/>
    <m/>
    <m/>
    <m/>
    <n v="-60"/>
    <m/>
    <m/>
    <m/>
  </r>
  <r>
    <x v="401"/>
    <m/>
    <x v="35"/>
    <m/>
    <s v="Card charge (FACEBK *C29SJYUV22)"/>
    <x v="95"/>
    <m/>
    <m/>
    <m/>
    <m/>
    <m/>
    <n v="-60"/>
    <m/>
    <m/>
    <m/>
  </r>
  <r>
    <x v="401"/>
    <m/>
    <x v="35"/>
    <m/>
    <s v="Card charge (FACEBK *J4MXT3DUQ2)"/>
    <x v="95"/>
    <m/>
    <m/>
    <m/>
    <m/>
    <m/>
    <n v="-20"/>
    <m/>
    <m/>
    <m/>
  </r>
  <r>
    <x v="401"/>
    <m/>
    <x v="35"/>
    <m/>
    <s v="Card charge (FACEBK *DZB6DXLW22)"/>
    <x v="95"/>
    <m/>
    <m/>
    <m/>
    <m/>
    <m/>
    <n v="-60"/>
    <m/>
    <m/>
    <m/>
  </r>
  <r>
    <x v="401"/>
    <m/>
    <x v="35"/>
    <m/>
    <s v="Card charge (FACEBK *3AKACXLW22)"/>
    <x v="95"/>
    <m/>
    <m/>
    <m/>
    <m/>
    <m/>
    <n v="-60"/>
    <m/>
    <m/>
    <m/>
  </r>
  <r>
    <x v="401"/>
    <m/>
    <x v="2"/>
    <s v="GREATPAGES"/>
    <s v="Card charge (GREATAPPS)"/>
    <x v="143"/>
    <m/>
    <m/>
    <m/>
    <m/>
    <m/>
    <n v="-52.5"/>
    <m/>
    <m/>
    <m/>
  </r>
  <r>
    <x v="401"/>
    <m/>
    <x v="35"/>
    <s v="PLATAFORMA VIDEOS"/>
    <s v="Card charge (PANDAVIDEO.COM)"/>
    <x v="192"/>
    <m/>
    <m/>
    <m/>
    <m/>
    <m/>
    <n v="-14.9"/>
    <m/>
    <m/>
    <m/>
  </r>
  <r>
    <x v="402"/>
    <m/>
    <x v="35"/>
    <m/>
    <s v="Card charge (FACEBK *L2SJ6Y8W22)"/>
    <x v="95"/>
    <m/>
    <m/>
    <m/>
    <m/>
    <m/>
    <n v="-60"/>
    <m/>
    <m/>
    <m/>
  </r>
  <r>
    <x v="403"/>
    <m/>
    <x v="35"/>
    <m/>
    <s v="Card charge (FACEBK *QDJFSXGW22)"/>
    <x v="95"/>
    <m/>
    <m/>
    <m/>
    <m/>
    <m/>
    <n v="-60"/>
    <m/>
    <m/>
    <m/>
  </r>
  <r>
    <x v="403"/>
    <m/>
    <x v="35"/>
    <m/>
    <s v="Card charge (FACEBK *J4FMQYUW22)"/>
    <x v="95"/>
    <m/>
    <m/>
    <m/>
    <m/>
    <m/>
    <n v="-60"/>
    <m/>
    <m/>
    <m/>
  </r>
  <r>
    <x v="403"/>
    <m/>
    <x v="35"/>
    <m/>
    <s v="Card charge (FACEBK *MGSWWX4W22)"/>
    <x v="95"/>
    <m/>
    <m/>
    <m/>
    <m/>
    <m/>
    <n v="-60"/>
    <m/>
    <m/>
    <m/>
  </r>
  <r>
    <x v="403"/>
    <m/>
    <x v="35"/>
    <m/>
    <s v="Card charge (FACEBK *ZSM9LYQW22)"/>
    <x v="95"/>
    <m/>
    <m/>
    <m/>
    <m/>
    <m/>
    <n v="-60"/>
    <m/>
    <m/>
    <m/>
  </r>
  <r>
    <x v="403"/>
    <m/>
    <x v="35"/>
    <m/>
    <s v="Card charge (FACEBK *HZJYMYUV22)"/>
    <x v="95"/>
    <m/>
    <m/>
    <m/>
    <m/>
    <m/>
    <n v="-60"/>
    <m/>
    <m/>
    <m/>
  </r>
  <r>
    <x v="403"/>
    <m/>
    <x v="35"/>
    <m/>
    <s v="Card charge (FACEBK *DJ76FYCW22)"/>
    <x v="95"/>
    <m/>
    <m/>
    <m/>
    <m/>
    <m/>
    <n v="-60"/>
    <m/>
    <m/>
    <m/>
  </r>
  <r>
    <x v="403"/>
    <m/>
    <x v="2"/>
    <s v="CURSOR PLATAFORMAS"/>
    <s v="Card charge (CURSOR, AI POWERED IDE)"/>
    <x v="161"/>
    <m/>
    <m/>
    <m/>
    <m/>
    <m/>
    <n v="-20"/>
    <m/>
    <m/>
    <m/>
  </r>
  <r>
    <x v="403"/>
    <m/>
    <x v="41"/>
    <m/>
    <s v="Card charge (NINTENDOPROJECT.COM)"/>
    <x v="193"/>
    <m/>
    <m/>
    <m/>
    <m/>
    <m/>
    <n v="-21.54"/>
    <m/>
    <m/>
    <m/>
  </r>
  <r>
    <x v="404"/>
    <m/>
    <x v="35"/>
    <m/>
    <s v="Card charge (FACEBK *28ZLUXGW22)"/>
    <x v="95"/>
    <m/>
    <m/>
    <m/>
    <m/>
    <m/>
    <n v="-60"/>
    <m/>
    <m/>
    <m/>
  </r>
  <r>
    <x v="404"/>
    <m/>
    <x v="35"/>
    <m/>
    <s v="Card charge (FACEBK *U4Q5RYUV22)"/>
    <x v="95"/>
    <m/>
    <m/>
    <m/>
    <m/>
    <m/>
    <n v="-60"/>
    <m/>
    <m/>
    <m/>
  </r>
  <r>
    <x v="404"/>
    <m/>
    <x v="12"/>
    <m/>
    <s v="Payment from Hotmart"/>
    <x v="190"/>
    <m/>
    <m/>
    <m/>
    <m/>
    <n v="-5606"/>
    <n v="5606.86"/>
    <m/>
    <m/>
    <m/>
  </r>
  <r>
    <x v="405"/>
    <m/>
    <x v="35"/>
    <m/>
    <s v="Card charge (FACEBK *N37NTYQW22)"/>
    <x v="95"/>
    <m/>
    <m/>
    <m/>
    <m/>
    <m/>
    <n v="-60"/>
    <m/>
    <m/>
    <m/>
  </r>
  <r>
    <x v="405"/>
    <m/>
    <x v="35"/>
    <m/>
    <s v="Card charge (FACEBK *6YBN4Y4W22)"/>
    <x v="95"/>
    <m/>
    <m/>
    <m/>
    <m/>
    <m/>
    <n v="-60"/>
    <m/>
    <m/>
    <m/>
  </r>
  <r>
    <x v="405"/>
    <m/>
    <x v="35"/>
    <m/>
    <s v="Card charge (FACEBK *2SJUVYUW22)"/>
    <x v="95"/>
    <m/>
    <m/>
    <m/>
    <m/>
    <m/>
    <n v="-60"/>
    <m/>
    <m/>
    <m/>
  </r>
  <r>
    <x v="405"/>
    <m/>
    <x v="35"/>
    <m/>
    <s v="Card charge (FACEBK *H8DESXYV22)"/>
    <x v="95"/>
    <m/>
    <m/>
    <m/>
    <m/>
    <m/>
    <n v="-60"/>
    <m/>
    <m/>
    <m/>
  </r>
  <r>
    <x v="405"/>
    <m/>
    <x v="35"/>
    <m/>
    <s v="Card charge (FACEBK *X96WDY8W22)"/>
    <x v="95"/>
    <m/>
    <m/>
    <m/>
    <m/>
    <m/>
    <n v="-60"/>
    <m/>
    <m/>
    <m/>
  </r>
  <r>
    <x v="405"/>
    <m/>
    <x v="35"/>
    <m/>
    <s v="Card charge (FACEBK *BZMGMXLW22)"/>
    <x v="95"/>
    <m/>
    <m/>
    <m/>
    <m/>
    <m/>
    <n v="-60"/>
    <m/>
    <m/>
    <m/>
  </r>
  <r>
    <x v="405"/>
    <m/>
    <x v="2"/>
    <m/>
    <s v="PAGO PLATAFORMA COPY"/>
    <x v="194"/>
    <m/>
    <m/>
    <m/>
    <m/>
    <m/>
    <n v="-684"/>
    <m/>
    <m/>
    <m/>
  </r>
  <r>
    <x v="406"/>
    <m/>
    <x v="35"/>
    <m/>
    <s v="Card charge (FACEBK *3NGSYYUV22)"/>
    <x v="95"/>
    <m/>
    <m/>
    <m/>
    <m/>
    <m/>
    <n v="-60"/>
    <m/>
    <m/>
    <m/>
  </r>
  <r>
    <x v="406"/>
    <m/>
    <x v="35"/>
    <m/>
    <s v="Card charge (FACEBK *9WKKRYCW22)"/>
    <x v="95"/>
    <m/>
    <m/>
    <m/>
    <m/>
    <m/>
    <n v="-60"/>
    <m/>
    <m/>
    <m/>
  </r>
  <r>
    <x v="406"/>
    <m/>
    <x v="35"/>
    <m/>
    <s v="Card charge (FACEBK *SQRUSXLW22)"/>
    <x v="95"/>
    <m/>
    <m/>
    <m/>
    <m/>
    <m/>
    <n v="-60"/>
    <m/>
    <m/>
    <m/>
  </r>
  <r>
    <x v="406"/>
    <m/>
    <x v="35"/>
    <m/>
    <s v="Card charge (FACEBK *EQY5ZXGW22)"/>
    <x v="95"/>
    <m/>
    <m/>
    <m/>
    <m/>
    <m/>
    <n v="-60"/>
    <m/>
    <m/>
    <m/>
  </r>
  <r>
    <x v="406"/>
    <m/>
    <x v="42"/>
    <s v="VPS PUNTAJE"/>
    <s v="Card charge (HOSTINGER* HOSTINGER.C)"/>
    <x v="33"/>
    <m/>
    <m/>
    <m/>
    <m/>
    <m/>
    <n v="-21.21"/>
    <m/>
    <m/>
    <m/>
  </r>
  <r>
    <x v="406"/>
    <m/>
    <x v="2"/>
    <s v="SERVIDOR ERP"/>
    <s v="Card charge (HOSTINGER* HOSTINGER.C)"/>
    <x v="33"/>
    <m/>
    <m/>
    <m/>
    <m/>
    <m/>
    <n v="-13.52"/>
    <m/>
    <m/>
    <m/>
  </r>
  <r>
    <x v="407"/>
    <m/>
    <x v="35"/>
    <m/>
    <s v="Card charge (FACEBK *JN8PZXYV22)"/>
    <x v="95"/>
    <m/>
    <m/>
    <m/>
    <m/>
    <m/>
    <n v="-60"/>
    <m/>
    <m/>
    <m/>
  </r>
  <r>
    <x v="407"/>
    <m/>
    <x v="35"/>
    <m/>
    <s v="Card charge (FACEBK *9KLGVXLW22)"/>
    <x v="95"/>
    <m/>
    <m/>
    <m/>
    <m/>
    <m/>
    <n v="-60"/>
    <m/>
    <m/>
    <m/>
  </r>
  <r>
    <x v="407"/>
    <m/>
    <x v="35"/>
    <m/>
    <s v="Card charge (FACEBK *5Y9XUXLW22)"/>
    <x v="95"/>
    <m/>
    <m/>
    <m/>
    <m/>
    <m/>
    <n v="-60"/>
    <m/>
    <m/>
    <m/>
  </r>
  <r>
    <x v="407"/>
    <m/>
    <x v="35"/>
    <m/>
    <s v="Card charge (FACEBK *WY2MWYQW22)"/>
    <x v="95"/>
    <m/>
    <m/>
    <m/>
    <m/>
    <m/>
    <n v="-60"/>
    <m/>
    <m/>
    <m/>
  </r>
  <r>
    <x v="408"/>
    <m/>
    <x v="35"/>
    <m/>
    <s v="Card charge (FACEBK *6YC74YYV22)"/>
    <x v="95"/>
    <m/>
    <m/>
    <m/>
    <m/>
    <m/>
    <n v="-60"/>
    <m/>
    <m/>
    <m/>
  </r>
  <r>
    <x v="408"/>
    <m/>
    <x v="35"/>
    <m/>
    <s v="Card charge (FACEBK *CP6B5ZUW22)"/>
    <x v="95"/>
    <m/>
    <m/>
    <m/>
    <m/>
    <m/>
    <n v="-60"/>
    <m/>
    <m/>
    <m/>
  </r>
  <r>
    <x v="408"/>
    <m/>
    <x v="35"/>
    <m/>
    <s v="Card charge (FACEBK *SNHSNY8W22)"/>
    <x v="95"/>
    <m/>
    <m/>
    <m/>
    <m/>
    <m/>
    <n v="-60"/>
    <m/>
    <m/>
    <m/>
  </r>
  <r>
    <x v="408"/>
    <m/>
    <x v="37"/>
    <m/>
    <s v="VENTAS DESDE EL 16 JULIO AL 30 DE SEPTIEMBRE"/>
    <x v="60"/>
    <m/>
    <n v="6771"/>
    <m/>
    <m/>
    <n v="64389"/>
    <m/>
    <m/>
    <m/>
    <m/>
  </r>
  <r>
    <x v="408"/>
    <m/>
    <x v="35"/>
    <m/>
    <s v="VENTAS DEL 1 AL 30 DE SEPTIEMBRE"/>
    <x v="60"/>
    <m/>
    <m/>
    <m/>
    <m/>
    <n v="6965"/>
    <m/>
    <m/>
    <m/>
    <m/>
  </r>
  <r>
    <x v="408"/>
    <m/>
    <x v="22"/>
    <m/>
    <s v="VENTAS SEPTIEMBRE"/>
    <x v="60"/>
    <m/>
    <n v="8984"/>
    <m/>
    <m/>
    <m/>
    <m/>
    <m/>
    <m/>
    <m/>
  </r>
  <r>
    <x v="409"/>
    <m/>
    <x v="35"/>
    <m/>
    <s v="Card charge (FACEBK *2JG9GY4W22)"/>
    <x v="95"/>
    <m/>
    <m/>
    <m/>
    <m/>
    <m/>
    <n v="-60"/>
    <m/>
    <m/>
    <m/>
  </r>
  <r>
    <x v="409"/>
    <m/>
    <x v="35"/>
    <m/>
    <s v="Card charge (FACEBK *PNM78ZUV22)"/>
    <x v="95"/>
    <m/>
    <m/>
    <m/>
    <m/>
    <m/>
    <n v="-60"/>
    <m/>
    <m/>
    <m/>
  </r>
  <r>
    <x v="409"/>
    <m/>
    <x v="35"/>
    <m/>
    <s v="Card charge (FACEBK *QKB2EY4W22)"/>
    <x v="95"/>
    <m/>
    <m/>
    <m/>
    <m/>
    <m/>
    <n v="-60"/>
    <m/>
    <m/>
    <m/>
  </r>
  <r>
    <x v="409"/>
    <m/>
    <x v="2"/>
    <s v="DOMINIO"/>
    <s v="Card charge (GOOGLE *GSUITE_automsc)"/>
    <x v="195"/>
    <m/>
    <m/>
    <m/>
    <m/>
    <m/>
    <n v="-13"/>
    <m/>
    <m/>
    <m/>
  </r>
  <r>
    <x v="410"/>
    <m/>
    <x v="35"/>
    <m/>
    <s v="Card charge (FACEBK *9RJ79ZQW22)"/>
    <x v="95"/>
    <m/>
    <m/>
    <m/>
    <m/>
    <m/>
    <n v="-60"/>
    <m/>
    <m/>
    <m/>
  </r>
  <r>
    <x v="410"/>
    <m/>
    <x v="35"/>
    <m/>
    <s v="Card charge (FACEBK *VGXSKY4W22)"/>
    <x v="95"/>
    <m/>
    <m/>
    <m/>
    <m/>
    <m/>
    <n v="-60"/>
    <m/>
    <m/>
    <m/>
  </r>
  <r>
    <x v="410"/>
    <m/>
    <x v="35"/>
    <m/>
    <s v="Card charge (FACEBK *QTY6AZUV22)"/>
    <x v="95"/>
    <m/>
    <m/>
    <m/>
    <m/>
    <m/>
    <n v="-60"/>
    <m/>
    <m/>
    <m/>
  </r>
  <r>
    <x v="411"/>
    <m/>
    <x v="35"/>
    <m/>
    <s v="Card charge (FACEBK *7LLLBYYV22)"/>
    <x v="95"/>
    <m/>
    <m/>
    <m/>
    <m/>
    <m/>
    <n v="-60"/>
    <m/>
    <m/>
    <m/>
  </r>
  <r>
    <x v="411"/>
    <m/>
    <x v="42"/>
    <m/>
    <s v="Card charge (MANYCHAT.COM)"/>
    <x v="81"/>
    <m/>
    <m/>
    <m/>
    <m/>
    <m/>
    <n v="-20"/>
    <m/>
    <m/>
    <m/>
  </r>
  <r>
    <x v="411"/>
    <m/>
    <x v="42"/>
    <m/>
    <s v="Card charge (MANYCHAT.COM)"/>
    <x v="81"/>
    <m/>
    <m/>
    <m/>
    <m/>
    <m/>
    <n v="-20"/>
    <m/>
    <m/>
    <m/>
  </r>
  <r>
    <x v="411"/>
    <m/>
    <x v="2"/>
    <s v="DOMINIO"/>
    <s v="Card charge (GRAL WEB EBANX COMPRA)"/>
    <x v="195"/>
    <m/>
    <m/>
    <m/>
    <m/>
    <m/>
    <n v="-3.62"/>
    <m/>
    <m/>
    <m/>
  </r>
  <r>
    <x v="411"/>
    <m/>
    <x v="2"/>
    <s v="NOMINA OCTUBRE"/>
    <s v="Payment to Bancolombia (6138)"/>
    <x v="141"/>
    <m/>
    <m/>
    <m/>
    <m/>
    <m/>
    <n v="-3091.84"/>
    <m/>
    <m/>
    <m/>
  </r>
  <r>
    <x v="412"/>
    <m/>
    <x v="35"/>
    <m/>
    <s v="Card charge (FACEBK *8RH3GYYV22)"/>
    <x v="95"/>
    <m/>
    <m/>
    <m/>
    <m/>
    <m/>
    <n v="-60"/>
    <m/>
    <m/>
    <m/>
  </r>
  <r>
    <x v="412"/>
    <m/>
    <x v="35"/>
    <m/>
    <s v="Card charge (FACEBK *AP7YDYYV22)"/>
    <x v="95"/>
    <m/>
    <m/>
    <m/>
    <m/>
    <m/>
    <n v="-60"/>
    <m/>
    <m/>
    <m/>
  </r>
  <r>
    <x v="412"/>
    <m/>
    <x v="35"/>
    <m/>
    <s v="Card charge (FACEBK *CJQYEZUV22)"/>
    <x v="95"/>
    <m/>
    <m/>
    <m/>
    <m/>
    <m/>
    <n v="-60"/>
    <m/>
    <m/>
    <m/>
  </r>
  <r>
    <x v="412"/>
    <m/>
    <x v="2"/>
    <s v="CLAUDE"/>
    <s v="Card charge (CLAUDE.AI SUBSCRIPTION)"/>
    <x v="176"/>
    <m/>
    <m/>
    <m/>
    <m/>
    <m/>
    <n v="-20"/>
    <m/>
    <m/>
    <m/>
  </r>
  <r>
    <x v="412"/>
    <m/>
    <x v="42"/>
    <s v="SENDFLOW"/>
    <s v="Card charge (HOTMART PTP)"/>
    <x v="187"/>
    <m/>
    <m/>
    <m/>
    <m/>
    <m/>
    <n v="-99"/>
    <m/>
    <m/>
    <m/>
  </r>
  <r>
    <x v="413"/>
    <m/>
    <x v="35"/>
    <m/>
    <s v="Card charge (FACEBK *6GLQPYGW22)"/>
    <x v="95"/>
    <m/>
    <m/>
    <m/>
    <m/>
    <m/>
    <n v="-60"/>
    <m/>
    <m/>
    <m/>
  </r>
  <r>
    <x v="413"/>
    <m/>
    <x v="35"/>
    <m/>
    <s v="Card charge (FACEBK *F67ZSY4W22)"/>
    <x v="95"/>
    <m/>
    <m/>
    <m/>
    <m/>
    <m/>
    <n v="-60"/>
    <m/>
    <m/>
    <m/>
  </r>
  <r>
    <x v="413"/>
    <m/>
    <x v="42"/>
    <s v="HOSTING"/>
    <s v="Card charge (hostinger.com)"/>
    <x v="33"/>
    <m/>
    <m/>
    <m/>
    <m/>
    <m/>
    <n v="-14.58"/>
    <m/>
    <m/>
    <m/>
  </r>
  <r>
    <x v="414"/>
    <m/>
    <x v="35"/>
    <m/>
    <s v="Card charge (FACEBK *YQDQLZQW22)"/>
    <x v="95"/>
    <m/>
    <m/>
    <m/>
    <m/>
    <m/>
    <n v="-60"/>
    <m/>
    <m/>
    <m/>
  </r>
  <r>
    <x v="414"/>
    <m/>
    <x v="35"/>
    <m/>
    <s v="Card charge (FACEBK *VACQNYYV22)"/>
    <x v="95"/>
    <m/>
    <m/>
    <m/>
    <m/>
    <m/>
    <n v="-60"/>
    <m/>
    <m/>
    <m/>
  </r>
  <r>
    <x v="414"/>
    <m/>
    <x v="42"/>
    <m/>
    <s v="Card charge (MANYCHAT.COM)"/>
    <x v="81"/>
    <m/>
    <m/>
    <m/>
    <m/>
    <m/>
    <n v="-20"/>
    <m/>
    <m/>
    <m/>
  </r>
  <r>
    <x v="414"/>
    <m/>
    <x v="42"/>
    <m/>
    <s v="Card charge (MANYCHAT.COM)"/>
    <x v="81"/>
    <m/>
    <m/>
    <m/>
    <m/>
    <m/>
    <n v="-20"/>
    <m/>
    <m/>
    <m/>
  </r>
  <r>
    <x v="415"/>
    <m/>
    <x v="35"/>
    <m/>
    <s v="Card charge (FACEBK *QS5VUYGW22)"/>
    <x v="95"/>
    <m/>
    <m/>
    <m/>
    <m/>
    <m/>
    <n v="-60"/>
    <m/>
    <m/>
    <m/>
  </r>
  <r>
    <x v="415"/>
    <m/>
    <x v="42"/>
    <m/>
    <s v="Card charge (MANYCHAT.COM)"/>
    <x v="81"/>
    <m/>
    <m/>
    <m/>
    <m/>
    <m/>
    <n v="-20"/>
    <m/>
    <m/>
    <m/>
  </r>
  <r>
    <x v="415"/>
    <m/>
    <x v="2"/>
    <s v="CURSOR PLATAFORMAS"/>
    <s v="Card charge (CURSOR USAGE  SEP)"/>
    <x v="161"/>
    <m/>
    <m/>
    <m/>
    <m/>
    <m/>
    <n v="-19.28"/>
    <m/>
    <m/>
    <m/>
  </r>
  <r>
    <x v="416"/>
    <m/>
    <x v="35"/>
    <m/>
    <s v="Card charge (FACEBK *3YLTTZQW22)"/>
    <x v="95"/>
    <m/>
    <m/>
    <m/>
    <m/>
    <m/>
    <n v="-60"/>
    <m/>
    <m/>
    <m/>
  </r>
  <r>
    <x v="416"/>
    <m/>
    <x v="35"/>
    <m/>
    <s v="Card charge (FACEBK *FTZNUZUV22)"/>
    <x v="95"/>
    <m/>
    <m/>
    <m/>
    <m/>
    <m/>
    <n v="-60"/>
    <m/>
    <m/>
    <m/>
  </r>
  <r>
    <x v="416"/>
    <m/>
    <x v="42"/>
    <m/>
    <s v="Card charge (MANYCHAT.COM)"/>
    <x v="81"/>
    <m/>
    <m/>
    <m/>
    <m/>
    <m/>
    <n v="-20"/>
    <m/>
    <m/>
    <m/>
  </r>
  <r>
    <x v="416"/>
    <m/>
    <x v="42"/>
    <m/>
    <s v="Card charge (MANYCHAT.COM)"/>
    <x v="81"/>
    <m/>
    <m/>
    <m/>
    <m/>
    <m/>
    <n v="-20"/>
    <m/>
    <m/>
    <m/>
  </r>
  <r>
    <x v="416"/>
    <m/>
    <x v="2"/>
    <m/>
    <s v="Card charge (GOOGLE *Google One)"/>
    <x v="183"/>
    <m/>
    <m/>
    <m/>
    <m/>
    <m/>
    <n v="-30.06"/>
    <m/>
    <m/>
    <m/>
  </r>
  <r>
    <x v="416"/>
    <m/>
    <x v="2"/>
    <s v="CAPCUT"/>
    <s v="Card charge (PAYPAL *CAPCUT)"/>
    <x v="196"/>
    <m/>
    <m/>
    <m/>
    <m/>
    <m/>
    <n v="-16.29"/>
    <m/>
    <m/>
    <m/>
  </r>
  <r>
    <x v="417"/>
    <m/>
    <x v="35"/>
    <m/>
    <s v="Card charge (FACEBK *M8JJ3ZGW22)"/>
    <x v="95"/>
    <m/>
    <m/>
    <m/>
    <m/>
    <m/>
    <n v="-60"/>
    <m/>
    <m/>
    <m/>
  </r>
  <r>
    <x v="417"/>
    <m/>
    <x v="42"/>
    <m/>
    <s v="Card charge (MANYCHAT.COM)"/>
    <x v="81"/>
    <m/>
    <m/>
    <m/>
    <m/>
    <m/>
    <n v="-20"/>
    <m/>
    <m/>
    <m/>
  </r>
  <r>
    <x v="417"/>
    <m/>
    <x v="42"/>
    <m/>
    <s v="Card charge (MANYCHAT.COM)"/>
    <x v="81"/>
    <m/>
    <m/>
    <m/>
    <m/>
    <m/>
    <n v="-20"/>
    <m/>
    <m/>
    <m/>
  </r>
  <r>
    <x v="417"/>
    <m/>
    <x v="42"/>
    <s v="HOSTING"/>
    <s v="Card charge (DLO*hostinger.co)"/>
    <x v="33"/>
    <m/>
    <m/>
    <m/>
    <m/>
    <m/>
    <n v="-15.56"/>
    <m/>
    <m/>
    <m/>
  </r>
  <r>
    <x v="417"/>
    <m/>
    <x v="42"/>
    <s v="EASYPANEL"/>
    <s v="Card charge (hostinger.com)"/>
    <x v="33"/>
    <m/>
    <m/>
    <m/>
    <m/>
    <m/>
    <n v="-64.48"/>
    <m/>
    <m/>
    <m/>
  </r>
  <r>
    <x v="417"/>
    <m/>
    <x v="42"/>
    <m/>
    <s v="Card charge (STAPE, INC.)"/>
    <x v="75"/>
    <m/>
    <m/>
    <m/>
    <m/>
    <m/>
    <n v="-20"/>
    <m/>
    <m/>
    <m/>
  </r>
  <r>
    <x v="418"/>
    <m/>
    <x v="42"/>
    <m/>
    <s v="Card charge (MANYCHAT.COM)"/>
    <x v="81"/>
    <m/>
    <m/>
    <m/>
    <m/>
    <m/>
    <n v="-20"/>
    <m/>
    <m/>
    <m/>
  </r>
  <r>
    <x v="419"/>
    <m/>
    <x v="35"/>
    <m/>
    <s v="Card charge (FACEBK *BB2QVZ8W22)"/>
    <x v="95"/>
    <m/>
    <m/>
    <m/>
    <m/>
    <m/>
    <n v="-60"/>
    <m/>
    <m/>
    <m/>
  </r>
  <r>
    <x v="419"/>
    <m/>
    <x v="35"/>
    <m/>
    <s v="Card charge (FACEBK *RWGC8ZYV22)"/>
    <x v="95"/>
    <m/>
    <m/>
    <m/>
    <m/>
    <m/>
    <n v="-60"/>
    <m/>
    <m/>
    <m/>
  </r>
  <r>
    <x v="419"/>
    <m/>
    <x v="35"/>
    <m/>
    <s v="Card charge (FACEBK *Y4UN42RW22)"/>
    <x v="95"/>
    <m/>
    <m/>
    <m/>
    <m/>
    <m/>
    <n v="-60.02"/>
    <m/>
    <m/>
    <m/>
  </r>
  <r>
    <x v="419"/>
    <m/>
    <x v="35"/>
    <m/>
    <s v="Card charge (FACEBK *UBA22ZYV22)"/>
    <x v="95"/>
    <m/>
    <m/>
    <m/>
    <m/>
    <m/>
    <n v="-60"/>
    <m/>
    <m/>
    <m/>
  </r>
  <r>
    <x v="419"/>
    <m/>
    <x v="42"/>
    <m/>
    <s v="Card charge (MANYCHAT.COM)"/>
    <x v="81"/>
    <m/>
    <m/>
    <m/>
    <m/>
    <m/>
    <n v="-20"/>
    <m/>
    <m/>
    <m/>
  </r>
  <r>
    <x v="419"/>
    <m/>
    <x v="42"/>
    <m/>
    <s v="Card charge (MANYCHAT.COM)"/>
    <x v="81"/>
    <m/>
    <m/>
    <m/>
    <m/>
    <m/>
    <n v="-20"/>
    <m/>
    <m/>
    <m/>
  </r>
  <r>
    <x v="419"/>
    <m/>
    <x v="42"/>
    <m/>
    <s v="Card charge (MANYCHAT.COM)"/>
    <x v="81"/>
    <m/>
    <m/>
    <m/>
    <m/>
    <m/>
    <n v="-20"/>
    <m/>
    <m/>
    <m/>
  </r>
  <r>
    <x v="419"/>
    <m/>
    <x v="42"/>
    <m/>
    <s v="Card charge (MANYCHAT.COM)"/>
    <x v="81"/>
    <m/>
    <m/>
    <m/>
    <m/>
    <m/>
    <n v="-20"/>
    <m/>
    <m/>
    <m/>
  </r>
  <r>
    <x v="419"/>
    <m/>
    <x v="41"/>
    <m/>
    <s v="Card charge (OPENROUTER, INC)"/>
    <x v="197"/>
    <m/>
    <m/>
    <m/>
    <m/>
    <m/>
    <n v="-5.8"/>
    <m/>
    <m/>
    <m/>
  </r>
  <r>
    <x v="420"/>
    <m/>
    <x v="35"/>
    <m/>
    <s v="Card charge (FACEBK *RTAXD2VV22)"/>
    <x v="95"/>
    <m/>
    <m/>
    <m/>
    <m/>
    <m/>
    <n v="-60"/>
    <m/>
    <m/>
    <m/>
  </r>
  <r>
    <x v="420"/>
    <m/>
    <x v="42"/>
    <m/>
    <s v="Card charge (MANYCHAT.COM)"/>
    <x v="81"/>
    <m/>
    <m/>
    <m/>
    <m/>
    <m/>
    <n v="-20"/>
    <m/>
    <m/>
    <m/>
  </r>
  <r>
    <x v="420"/>
    <m/>
    <x v="42"/>
    <m/>
    <s v="Card charge (MANYCHAT.COM)"/>
    <x v="81"/>
    <m/>
    <m/>
    <m/>
    <m/>
    <m/>
    <n v="-20"/>
    <m/>
    <m/>
    <m/>
  </r>
  <r>
    <x v="420"/>
    <m/>
    <x v="42"/>
    <m/>
    <s v="Card charge (MANYCHAT.COM)"/>
    <x v="81"/>
    <m/>
    <m/>
    <m/>
    <m/>
    <m/>
    <n v="-20"/>
    <m/>
    <m/>
    <m/>
  </r>
  <r>
    <x v="420"/>
    <m/>
    <x v="42"/>
    <s v="FLODESK"/>
    <s v="Card charge (FLODESK.COM)"/>
    <x v="90"/>
    <m/>
    <m/>
    <m/>
    <m/>
    <m/>
    <n v="-38"/>
    <m/>
    <m/>
    <m/>
  </r>
  <r>
    <x v="421"/>
    <m/>
    <x v="35"/>
    <m/>
    <s v="Card charge (FACEBK *VKEQC2DW22)"/>
    <x v="95"/>
    <m/>
    <m/>
    <m/>
    <m/>
    <m/>
    <n v="-60"/>
    <m/>
    <m/>
    <m/>
  </r>
  <r>
    <x v="421"/>
    <m/>
    <x v="35"/>
    <m/>
    <s v="Card charge (FACEBK *CX2TG2VW22)"/>
    <x v="95"/>
    <m/>
    <m/>
    <m/>
    <m/>
    <m/>
    <n v="-60"/>
    <m/>
    <m/>
    <m/>
  </r>
  <r>
    <x v="421"/>
    <m/>
    <x v="35"/>
    <m/>
    <s v="Card charge (FACEBK *8VM9F2VW22)"/>
    <x v="95"/>
    <m/>
    <m/>
    <m/>
    <m/>
    <m/>
    <n v="-60"/>
    <m/>
    <m/>
    <m/>
  </r>
  <r>
    <x v="421"/>
    <m/>
    <x v="42"/>
    <m/>
    <s v="Card charge (MANYCHAT.COM)"/>
    <x v="81"/>
    <m/>
    <m/>
    <m/>
    <m/>
    <m/>
    <n v="-20"/>
    <m/>
    <m/>
    <m/>
  </r>
  <r>
    <x v="421"/>
    <m/>
    <x v="42"/>
    <m/>
    <s v="Card charge (MANYCHAT.COM)"/>
    <x v="81"/>
    <m/>
    <m/>
    <m/>
    <m/>
    <m/>
    <n v="-20"/>
    <m/>
    <m/>
    <m/>
  </r>
  <r>
    <x v="421"/>
    <m/>
    <x v="42"/>
    <m/>
    <s v="Card charge (MANYCHAT.COM)"/>
    <x v="81"/>
    <m/>
    <m/>
    <m/>
    <m/>
    <m/>
    <n v="-20"/>
    <m/>
    <m/>
    <m/>
  </r>
  <r>
    <x v="421"/>
    <m/>
    <x v="42"/>
    <m/>
    <s v="Card charge (MANYCHAT.COM)"/>
    <x v="81"/>
    <m/>
    <m/>
    <m/>
    <m/>
    <m/>
    <n v="-20"/>
    <m/>
    <m/>
    <m/>
  </r>
  <r>
    <x v="421"/>
    <m/>
    <x v="42"/>
    <m/>
    <s v="Card charge (MANYCHAT.COM)"/>
    <x v="81"/>
    <m/>
    <m/>
    <m/>
    <m/>
    <m/>
    <n v="-20"/>
    <m/>
    <m/>
    <m/>
  </r>
  <r>
    <x v="421"/>
    <s v="SALIDA CONTABLE"/>
    <x v="22"/>
    <m/>
    <s v="TRASLADO UTILIDADES"/>
    <x v="198"/>
    <n v="-11047"/>
    <m/>
    <m/>
    <m/>
    <m/>
    <m/>
    <m/>
    <m/>
    <m/>
  </r>
  <r>
    <x v="421"/>
    <s v="INGRESO CONTABLE"/>
    <x v="2"/>
    <m/>
    <s v="TRASLADO UTILIDADES ADRIANA"/>
    <x v="199"/>
    <n v="11047"/>
    <m/>
    <m/>
    <m/>
    <m/>
    <m/>
    <m/>
    <m/>
    <m/>
  </r>
  <r>
    <x v="421"/>
    <m/>
    <x v="37"/>
    <m/>
    <s v="VENTAS DESDE EL 1 OCTUBRE AL 15 OCTUBRE"/>
    <x v="60"/>
    <m/>
    <m/>
    <m/>
    <m/>
    <n v="3654"/>
    <m/>
    <m/>
    <m/>
    <m/>
  </r>
  <r>
    <x v="421"/>
    <s v="SALIDA CONTABLE"/>
    <x v="37"/>
    <m/>
    <s v="TRASLADO UTILIDADES"/>
    <x v="198"/>
    <n v="-50828"/>
    <m/>
    <m/>
    <m/>
    <m/>
    <m/>
    <m/>
    <m/>
    <m/>
  </r>
  <r>
    <x v="421"/>
    <s v="INGRESO CONTABLE"/>
    <x v="2"/>
    <m/>
    <s v="TRASLADO UTILIDADES GERSSON L8"/>
    <x v="200"/>
    <n v="50828"/>
    <m/>
    <m/>
    <m/>
    <m/>
    <m/>
    <m/>
    <m/>
    <m/>
  </r>
  <r>
    <x v="421"/>
    <s v="SALIDA CONTABLE"/>
    <x v="35"/>
    <m/>
    <s v="TRASLADO UTILIDADES"/>
    <x v="198"/>
    <n v="-3227"/>
    <m/>
    <m/>
    <m/>
    <m/>
    <m/>
    <m/>
    <m/>
    <m/>
  </r>
  <r>
    <x v="421"/>
    <s v="INGRESO CONTABLE"/>
    <x v="2"/>
    <m/>
    <s v="TRASLADO UTILIDADES INFOPRODUCTOS X"/>
    <x v="201"/>
    <n v="3227"/>
    <m/>
    <m/>
    <m/>
    <m/>
    <m/>
    <m/>
    <m/>
    <m/>
  </r>
  <r>
    <x v="421"/>
    <s v="SALIDA CONTABLE"/>
    <x v="29"/>
    <m/>
    <s v="TRASLADO UTILIDADES"/>
    <x v="198"/>
    <n v="-343"/>
    <m/>
    <m/>
    <m/>
    <m/>
    <m/>
    <m/>
    <m/>
    <m/>
  </r>
  <r>
    <x v="421"/>
    <s v="INGRESO CONTABLE"/>
    <x v="2"/>
    <m/>
    <s v="TRASLADO UTILIDADES GIORGIO"/>
    <x v="202"/>
    <n v="343"/>
    <m/>
    <m/>
    <m/>
    <m/>
    <m/>
    <m/>
    <m/>
    <m/>
  </r>
  <r>
    <x v="421"/>
    <s v="SALIDA CONTABLE"/>
    <x v="31"/>
    <m/>
    <s v="TRASLADO UTILIDADES"/>
    <x v="198"/>
    <n v="743"/>
    <m/>
    <m/>
    <m/>
    <m/>
    <m/>
    <m/>
    <m/>
    <m/>
  </r>
  <r>
    <x v="421"/>
    <s v="INGRESO CONTABLE"/>
    <x v="2"/>
    <m/>
    <s v="TRASLADO UTILIDADES NELLY"/>
    <x v="203"/>
    <n v="-743"/>
    <m/>
    <m/>
    <m/>
    <m/>
    <m/>
    <m/>
    <m/>
    <m/>
  </r>
  <r>
    <x v="421"/>
    <s v="SALIDA CONTABLE"/>
    <x v="30"/>
    <m/>
    <s v="TRASLADO UTILIDADES"/>
    <x v="198"/>
    <n v="-84"/>
    <m/>
    <m/>
    <m/>
    <m/>
    <m/>
    <m/>
    <m/>
    <m/>
  </r>
  <r>
    <x v="421"/>
    <s v="INGRESO CONTABLE"/>
    <x v="2"/>
    <m/>
    <s v="TRASLADO UTILIDADES VCAPITALL1"/>
    <x v="204"/>
    <n v="84"/>
    <m/>
    <m/>
    <m/>
    <m/>
    <m/>
    <m/>
    <m/>
    <m/>
  </r>
  <r>
    <x v="422"/>
    <m/>
    <x v="42"/>
    <m/>
    <s v="Card charge (MANYCHAT.COM)"/>
    <x v="81"/>
    <m/>
    <m/>
    <m/>
    <m/>
    <m/>
    <n v="-20"/>
    <m/>
    <m/>
    <m/>
  </r>
  <r>
    <x v="422"/>
    <m/>
    <x v="42"/>
    <m/>
    <s v="Card charge (MANYCHAT.COM)"/>
    <x v="81"/>
    <m/>
    <m/>
    <m/>
    <m/>
    <m/>
    <n v="-20"/>
    <m/>
    <m/>
    <m/>
  </r>
  <r>
    <x v="422"/>
    <m/>
    <x v="42"/>
    <m/>
    <s v="Card charge (MANYCHAT.COM)"/>
    <x v="81"/>
    <m/>
    <m/>
    <m/>
    <m/>
    <m/>
    <n v="-20"/>
    <m/>
    <m/>
    <m/>
  </r>
  <r>
    <x v="422"/>
    <m/>
    <x v="12"/>
    <m/>
    <s v="Payment from Hotmart"/>
    <x v="190"/>
    <m/>
    <m/>
    <m/>
    <m/>
    <n v="-5965"/>
    <n v="5965"/>
    <m/>
    <m/>
    <m/>
  </r>
  <r>
    <x v="422"/>
    <s v="SALIDA CONTABLE"/>
    <x v="2"/>
    <m/>
    <s v="TRASLADO UTILIDADES"/>
    <x v="205"/>
    <n v="-50518"/>
    <m/>
    <m/>
    <m/>
    <m/>
    <m/>
    <m/>
    <m/>
    <m/>
  </r>
  <r>
    <x v="422"/>
    <s v="INGRESO CONTABLE"/>
    <x v="28"/>
    <m/>
    <s v="TRASLADO EXCEDENTE PARA REPARTIR"/>
    <x v="206"/>
    <n v="50518"/>
    <m/>
    <m/>
    <m/>
    <m/>
    <m/>
    <m/>
    <m/>
    <m/>
  </r>
  <r>
    <x v="422"/>
    <m/>
    <x v="42"/>
    <m/>
    <s v="Card charge (FLODESK.COM)"/>
    <x v="90"/>
    <m/>
    <m/>
    <m/>
    <m/>
    <m/>
    <n v="-38"/>
    <m/>
    <m/>
    <m/>
  </r>
  <r>
    <x v="422"/>
    <m/>
    <x v="35"/>
    <m/>
    <s v="Card charge (FACEBK *7JUMFZLW22)"/>
    <x v="95"/>
    <m/>
    <m/>
    <m/>
    <m/>
    <m/>
    <n v="-60"/>
    <m/>
    <m/>
    <m/>
  </r>
  <r>
    <x v="422"/>
    <m/>
    <x v="35"/>
    <m/>
    <s v="Card charge (FACEBK *K8Z6WZ4W22)"/>
    <x v="95"/>
    <m/>
    <m/>
    <m/>
    <m/>
    <m/>
    <n v="-60"/>
    <m/>
    <m/>
    <m/>
  </r>
  <r>
    <x v="423"/>
    <m/>
    <x v="35"/>
    <m/>
    <s v="Card charge (FACEBK *9V2SL2RW22)"/>
    <x v="95"/>
    <m/>
    <m/>
    <m/>
    <m/>
    <m/>
    <n v="-60"/>
    <m/>
    <m/>
    <m/>
  </r>
  <r>
    <x v="423"/>
    <m/>
    <x v="42"/>
    <m/>
    <s v="Card charge (MANYCHAT.COM)"/>
    <x v="81"/>
    <m/>
    <m/>
    <m/>
    <m/>
    <m/>
    <n v="-20"/>
    <m/>
    <m/>
    <m/>
  </r>
  <r>
    <x v="423"/>
    <m/>
    <x v="42"/>
    <m/>
    <s v="Card charge (MANYCHAT.COM)"/>
    <x v="81"/>
    <m/>
    <m/>
    <m/>
    <m/>
    <m/>
    <n v="-20"/>
    <m/>
    <m/>
    <m/>
  </r>
  <r>
    <x v="424"/>
    <m/>
    <x v="35"/>
    <m/>
    <s v="Card charge (FACEBK *2AYQM5MUQ2)"/>
    <x v="95"/>
    <m/>
    <m/>
    <m/>
    <m/>
    <m/>
    <n v="-1.28"/>
    <m/>
    <m/>
    <m/>
  </r>
  <r>
    <x v="424"/>
    <m/>
    <x v="35"/>
    <m/>
    <s v="Card charge (FACEBK *7Q7DSZYV22)"/>
    <x v="95"/>
    <m/>
    <m/>
    <m/>
    <m/>
    <m/>
    <n v="-60"/>
    <m/>
    <m/>
    <m/>
  </r>
  <r>
    <x v="424"/>
    <m/>
    <x v="35"/>
    <m/>
    <s v="Card charge (FACEBK *8VYWR2RW22)"/>
    <x v="95"/>
    <m/>
    <m/>
    <m/>
    <m/>
    <m/>
    <n v="-60"/>
    <m/>
    <m/>
    <m/>
  </r>
  <r>
    <x v="424"/>
    <m/>
    <x v="35"/>
    <m/>
    <s v="Card charge (FACEBK *BXYJPZYV22)"/>
    <x v="95"/>
    <m/>
    <m/>
    <m/>
    <m/>
    <m/>
    <n v="-60"/>
    <m/>
    <m/>
    <m/>
  </r>
  <r>
    <x v="424"/>
    <m/>
    <x v="35"/>
    <m/>
    <s v="Card charge (FACEBK *DYNZP2VW22)"/>
    <x v="95"/>
    <m/>
    <m/>
    <m/>
    <m/>
    <m/>
    <n v="-9.3699999999999992"/>
    <m/>
    <m/>
    <m/>
  </r>
  <r>
    <x v="424"/>
    <m/>
    <x v="35"/>
    <m/>
    <s v="Card charge (FACEBK *FQGAR2VW22)"/>
    <x v="95"/>
    <m/>
    <m/>
    <m/>
    <m/>
    <m/>
    <n v="-60"/>
    <m/>
    <m/>
    <m/>
  </r>
  <r>
    <x v="424"/>
    <m/>
    <x v="35"/>
    <m/>
    <s v="Card charge (FACEBK *UTQ2S2VW22)"/>
    <x v="95"/>
    <m/>
    <m/>
    <m/>
    <m/>
    <m/>
    <n v="-59.83"/>
    <m/>
    <m/>
    <m/>
  </r>
  <r>
    <x v="424"/>
    <m/>
    <x v="42"/>
    <m/>
    <s v="Card charge (FACEBK *V5FZ64M3D2)"/>
    <x v="95"/>
    <m/>
    <m/>
    <m/>
    <m/>
    <m/>
    <n v="-573.67999999999995"/>
    <m/>
    <m/>
    <m/>
  </r>
  <r>
    <x v="424"/>
    <m/>
    <x v="42"/>
    <m/>
    <s v="Card charge (MANYCHAT.COM)"/>
    <x v="81"/>
    <m/>
    <m/>
    <m/>
    <m/>
    <m/>
    <n v="-20"/>
    <m/>
    <m/>
    <m/>
  </r>
  <r>
    <x v="424"/>
    <m/>
    <x v="42"/>
    <m/>
    <s v="Card charge (MANYCHAT.COM)"/>
    <x v="81"/>
    <m/>
    <m/>
    <m/>
    <m/>
    <m/>
    <n v="-20"/>
    <m/>
    <m/>
    <m/>
  </r>
  <r>
    <x v="424"/>
    <m/>
    <x v="42"/>
    <m/>
    <s v="Card charge (MANYCHAT.COM)"/>
    <x v="81"/>
    <m/>
    <m/>
    <m/>
    <m/>
    <m/>
    <n v="-20"/>
    <m/>
    <m/>
    <m/>
  </r>
  <r>
    <x v="424"/>
    <m/>
    <x v="42"/>
    <m/>
    <s v="Card charge (MANYCHAT.COM)"/>
    <x v="81"/>
    <m/>
    <m/>
    <m/>
    <m/>
    <m/>
    <n v="-20"/>
    <m/>
    <m/>
    <m/>
  </r>
  <r>
    <x v="424"/>
    <m/>
    <x v="42"/>
    <m/>
    <s v="Card charge (MANYCHAT.COM)"/>
    <x v="81"/>
    <m/>
    <m/>
    <m/>
    <m/>
    <m/>
    <n v="-20"/>
    <m/>
    <m/>
    <m/>
  </r>
  <r>
    <x v="424"/>
    <m/>
    <x v="2"/>
    <m/>
    <s v="Card charge (OPENAI *CHATGPT SUBSCR)"/>
    <x v="35"/>
    <m/>
    <m/>
    <m/>
    <m/>
    <m/>
    <n v="-20"/>
    <m/>
    <m/>
    <m/>
  </r>
  <r>
    <x v="424"/>
    <m/>
    <x v="42"/>
    <m/>
    <s v="Card charge (STREAMYARD.COM)"/>
    <x v="168"/>
    <m/>
    <m/>
    <m/>
    <m/>
    <m/>
    <n v="-88.99"/>
    <m/>
    <m/>
    <m/>
  </r>
  <r>
    <x v="425"/>
    <m/>
    <x v="42"/>
    <m/>
    <s v="Card charge (FACEBK *9B4U9453D2)"/>
    <x v="95"/>
    <m/>
    <m/>
    <m/>
    <m/>
    <m/>
    <n v="-900"/>
    <m/>
    <m/>
    <m/>
  </r>
  <r>
    <x v="425"/>
    <m/>
    <x v="35"/>
    <m/>
    <s v="Card charge (FACEBK *C7JYP2DW22)"/>
    <x v="95"/>
    <m/>
    <m/>
    <m/>
    <m/>
    <m/>
    <n v="-60"/>
    <m/>
    <m/>
    <m/>
  </r>
  <r>
    <x v="425"/>
    <m/>
    <x v="42"/>
    <m/>
    <s v="Card charge (FACEBK *CPT3V4R3D2)"/>
    <x v="95"/>
    <m/>
    <m/>
    <m/>
    <m/>
    <m/>
    <n v="-900"/>
    <m/>
    <m/>
    <m/>
  </r>
  <r>
    <x v="425"/>
    <m/>
    <x v="35"/>
    <m/>
    <s v="Card charge (FACEBK *ENGR22HW22)"/>
    <x v="95"/>
    <m/>
    <m/>
    <m/>
    <m/>
    <m/>
    <n v="-60"/>
    <m/>
    <m/>
    <m/>
  </r>
  <r>
    <x v="425"/>
    <m/>
    <x v="42"/>
    <m/>
    <s v="Card charge (FACEBK *NRGAN4V2D2)"/>
    <x v="95"/>
    <m/>
    <m/>
    <m/>
    <m/>
    <m/>
    <n v="-900"/>
    <m/>
    <m/>
    <m/>
  </r>
  <r>
    <x v="425"/>
    <m/>
    <x v="2"/>
    <s v="VPS PUNTAJE"/>
    <s v="Card charge (HOSTINGER* HOSTINGER.C)"/>
    <x v="33"/>
    <m/>
    <m/>
    <m/>
    <m/>
    <m/>
    <n v="-13.59"/>
    <m/>
    <m/>
    <m/>
  </r>
  <r>
    <x v="425"/>
    <m/>
    <x v="42"/>
    <m/>
    <s v="Card charge (MANYCHAT.COM)"/>
    <x v="81"/>
    <m/>
    <m/>
    <m/>
    <m/>
    <m/>
    <n v="-20"/>
    <m/>
    <m/>
    <m/>
  </r>
  <r>
    <x v="425"/>
    <m/>
    <x v="42"/>
    <m/>
    <s v="Card charge (MANYCHAT.COM)"/>
    <x v="81"/>
    <m/>
    <m/>
    <m/>
    <m/>
    <m/>
    <n v="-20"/>
    <m/>
    <m/>
    <m/>
  </r>
  <r>
    <x v="425"/>
    <m/>
    <x v="42"/>
    <m/>
    <s v="Card charge (MANYCHAT.COM)"/>
    <x v="81"/>
    <m/>
    <m/>
    <m/>
    <m/>
    <m/>
    <n v="-20"/>
    <m/>
    <m/>
    <m/>
  </r>
  <r>
    <x v="425"/>
    <m/>
    <x v="42"/>
    <m/>
    <s v="Card charge (MANYCHAT.COM)"/>
    <x v="81"/>
    <m/>
    <m/>
    <m/>
    <m/>
    <m/>
    <n v="-20"/>
    <m/>
    <m/>
    <m/>
  </r>
  <r>
    <x v="425"/>
    <m/>
    <x v="2"/>
    <m/>
    <s v="Card charge (STAPE  INC.)"/>
    <x v="75"/>
    <m/>
    <m/>
    <m/>
    <m/>
    <m/>
    <n v="-20.29"/>
    <m/>
    <m/>
    <m/>
  </r>
  <r>
    <x v="426"/>
    <m/>
    <x v="42"/>
    <m/>
    <s v="Card charge (FACEBK *4WJ834D3D2)"/>
    <x v="95"/>
    <m/>
    <m/>
    <m/>
    <m/>
    <m/>
    <n v="-900"/>
    <m/>
    <m/>
    <m/>
  </r>
  <r>
    <x v="426"/>
    <m/>
    <x v="42"/>
    <m/>
    <s v="Card charge (FACEBK *7YAHC4M3D2)"/>
    <x v="95"/>
    <m/>
    <m/>
    <m/>
    <m/>
    <m/>
    <n v="-900"/>
    <m/>
    <m/>
    <m/>
  </r>
  <r>
    <x v="426"/>
    <m/>
    <x v="42"/>
    <m/>
    <s v="Card charge (FACEBK *BS6AR393D2)"/>
    <x v="95"/>
    <m/>
    <m/>
    <m/>
    <m/>
    <m/>
    <n v="-900"/>
    <m/>
    <m/>
    <m/>
  </r>
  <r>
    <x v="426"/>
    <m/>
    <x v="42"/>
    <m/>
    <s v="Card charge (FACEBK *H8A244D3D2)"/>
    <x v="95"/>
    <m/>
    <m/>
    <m/>
    <m/>
    <m/>
    <n v="-900"/>
    <m/>
    <m/>
    <m/>
  </r>
  <r>
    <x v="426"/>
    <m/>
    <x v="42"/>
    <m/>
    <s v="Card charge (FACEBK *NAXY25R3D2)"/>
    <x v="95"/>
    <m/>
    <m/>
    <m/>
    <m/>
    <m/>
    <n v="-900"/>
    <m/>
    <m/>
    <m/>
  </r>
  <r>
    <x v="426"/>
    <m/>
    <x v="35"/>
    <m/>
    <s v="Card charge (FACEBK *U8QN52HW22)"/>
    <x v="95"/>
    <m/>
    <m/>
    <m/>
    <m/>
    <m/>
    <n v="-60"/>
    <m/>
    <m/>
    <m/>
  </r>
  <r>
    <x v="426"/>
    <m/>
    <x v="35"/>
    <m/>
    <s v="Card charge (FACEBK *YCH8Z2VV22)"/>
    <x v="95"/>
    <m/>
    <m/>
    <m/>
    <m/>
    <m/>
    <n v="-60"/>
    <m/>
    <m/>
    <m/>
  </r>
  <r>
    <x v="426"/>
    <m/>
    <x v="42"/>
    <m/>
    <s v="Card charge (MANYCHAT.COM)"/>
    <x v="81"/>
    <m/>
    <m/>
    <m/>
    <m/>
    <m/>
    <n v="-20"/>
    <m/>
    <m/>
    <m/>
  </r>
  <r>
    <x v="426"/>
    <m/>
    <x v="42"/>
    <m/>
    <s v="Card charge (MANYCHAT.COM)"/>
    <x v="81"/>
    <m/>
    <m/>
    <m/>
    <m/>
    <m/>
    <n v="-20"/>
    <m/>
    <m/>
    <m/>
  </r>
  <r>
    <x v="426"/>
    <m/>
    <x v="42"/>
    <m/>
    <s v="Card charge (MANYCHAT.COM)"/>
    <x v="81"/>
    <m/>
    <m/>
    <m/>
    <m/>
    <m/>
    <n v="-20"/>
    <m/>
    <m/>
    <m/>
  </r>
  <r>
    <x v="427"/>
    <m/>
    <x v="35"/>
    <m/>
    <s v="Card charge (FACEBK *8TYP53VV22)"/>
    <x v="95"/>
    <m/>
    <m/>
    <m/>
    <m/>
    <m/>
    <n v="-60"/>
    <m/>
    <m/>
    <m/>
  </r>
  <r>
    <x v="427"/>
    <m/>
    <x v="42"/>
    <m/>
    <s v="Card charge (FACEBK *YQUE74D3D2)"/>
    <x v="95"/>
    <m/>
    <m/>
    <m/>
    <m/>
    <m/>
    <n v="-900"/>
    <m/>
    <m/>
    <m/>
  </r>
  <r>
    <x v="427"/>
    <m/>
    <x v="42"/>
    <m/>
    <s v="Card charge (MANYCHAT.COM)"/>
    <x v="81"/>
    <m/>
    <m/>
    <m/>
    <m/>
    <m/>
    <n v="-20"/>
    <m/>
    <m/>
    <m/>
  </r>
  <r>
    <x v="428"/>
    <m/>
    <x v="35"/>
    <m/>
    <s v="Card charge (FACEBK *CGDF93VW22)"/>
    <x v="95"/>
    <m/>
    <m/>
    <m/>
    <m/>
    <m/>
    <n v="-60"/>
    <m/>
    <m/>
    <m/>
  </r>
  <r>
    <x v="428"/>
    <m/>
    <x v="42"/>
    <m/>
    <s v="Card charge (FACEBK *GTVDV5V3D2)"/>
    <x v="95"/>
    <m/>
    <m/>
    <m/>
    <m/>
    <m/>
    <n v="-900"/>
    <m/>
    <m/>
    <m/>
  </r>
  <r>
    <x v="428"/>
    <m/>
    <x v="35"/>
    <m/>
    <s v="Card charge (FACEBK *LGFU63VW22)"/>
    <x v="95"/>
    <m/>
    <m/>
    <m/>
    <m/>
    <m/>
    <n v="-60"/>
    <m/>
    <m/>
    <m/>
  </r>
  <r>
    <x v="429"/>
    <m/>
    <x v="35"/>
    <m/>
    <s v="Card charge (FACEBK *2QXK43DW22)"/>
    <x v="95"/>
    <m/>
    <m/>
    <m/>
    <m/>
    <m/>
    <n v="-60"/>
    <m/>
    <m/>
    <m/>
  </r>
  <r>
    <x v="429"/>
    <m/>
    <x v="42"/>
    <m/>
    <s v="Card charge (FACEBK *3N66M4M3D2)"/>
    <x v="95"/>
    <m/>
    <m/>
    <m/>
    <m/>
    <m/>
    <n v="-900"/>
    <m/>
    <m/>
    <m/>
  </r>
  <r>
    <x v="429"/>
    <m/>
    <x v="35"/>
    <m/>
    <s v="Card charge (FACEBK *ZL84B2ZV22)"/>
    <x v="95"/>
    <m/>
    <m/>
    <m/>
    <m/>
    <m/>
    <n v="-60"/>
    <m/>
    <m/>
    <m/>
  </r>
  <r>
    <x v="429"/>
    <m/>
    <x v="2"/>
    <m/>
    <s v="Card charge (GREATAPPS)"/>
    <x v="143"/>
    <m/>
    <m/>
    <m/>
    <m/>
    <m/>
    <n v="-52"/>
    <m/>
    <m/>
    <m/>
  </r>
  <r>
    <x v="429"/>
    <m/>
    <x v="20"/>
    <m/>
    <s v="Card charge (PANDAVIDEO.COM)"/>
    <x v="192"/>
    <m/>
    <m/>
    <m/>
    <m/>
    <m/>
    <n v="-57.66"/>
    <m/>
    <m/>
    <m/>
  </r>
  <r>
    <x v="429"/>
    <m/>
    <x v="12"/>
    <m/>
    <s v="Payment from Hotmart"/>
    <x v="190"/>
    <m/>
    <m/>
    <m/>
    <m/>
    <n v="-2079.9499999999998"/>
    <n v="2079.9499999999998"/>
    <m/>
    <m/>
    <m/>
  </r>
  <r>
    <x v="430"/>
    <m/>
    <x v="28"/>
    <m/>
    <s v="REPARTICIÓN DANIEL MARTINEZ (14%)"/>
    <x v="207"/>
    <m/>
    <m/>
    <m/>
    <m/>
    <m/>
    <n v="-7294"/>
    <m/>
    <m/>
    <m/>
  </r>
  <r>
    <x v="430"/>
    <m/>
    <x v="2"/>
    <m/>
    <s v="Card charge (CURSOR  AI POWERED IDE)"/>
    <x v="161"/>
    <m/>
    <m/>
    <m/>
    <m/>
    <m/>
    <n v="-20"/>
    <m/>
    <m/>
    <m/>
  </r>
  <r>
    <x v="430"/>
    <m/>
    <x v="35"/>
    <m/>
    <s v="Card charge (FACEBK *2EDQE3RW22)"/>
    <x v="95"/>
    <m/>
    <m/>
    <m/>
    <m/>
    <m/>
    <n v="-60"/>
    <m/>
    <m/>
    <m/>
  </r>
  <r>
    <x v="430"/>
    <m/>
    <x v="35"/>
    <m/>
    <s v="Card charge (FACEBK *6MXQY29W22)"/>
    <x v="95"/>
    <m/>
    <m/>
    <m/>
    <m/>
    <m/>
    <n v="-60"/>
    <m/>
    <m/>
    <m/>
  </r>
  <r>
    <x v="430"/>
    <m/>
    <x v="35"/>
    <m/>
    <s v="Card charge (FACEBK *CKG3M2HW22)"/>
    <x v="95"/>
    <m/>
    <m/>
    <m/>
    <m/>
    <m/>
    <n v="-60"/>
    <m/>
    <m/>
    <m/>
  </r>
  <r>
    <x v="430"/>
    <m/>
    <x v="35"/>
    <m/>
    <s v="Card charge (FACEBK *EAX7X4V2X2)"/>
    <x v="95"/>
    <m/>
    <m/>
    <m/>
    <m/>
    <m/>
    <n v="-24"/>
    <m/>
    <m/>
    <m/>
  </r>
  <r>
    <x v="430"/>
    <m/>
    <x v="35"/>
    <m/>
    <s v="Card charge (FACEBK *HXKP3652X2)"/>
    <x v="95"/>
    <m/>
    <m/>
    <m/>
    <m/>
    <m/>
    <n v="-20.97"/>
    <m/>
    <m/>
    <m/>
  </r>
  <r>
    <x v="430"/>
    <m/>
    <x v="35"/>
    <m/>
    <s v="Card charge (FACEBK *P4TCM5M2X2)"/>
    <x v="95"/>
    <m/>
    <m/>
    <m/>
    <m/>
    <m/>
    <n v="-27"/>
    <m/>
    <m/>
    <m/>
  </r>
  <r>
    <x v="430"/>
    <m/>
    <x v="35"/>
    <m/>
    <s v="Card charge (FACEBK *WRS6P25W22)"/>
    <x v="95"/>
    <m/>
    <m/>
    <m/>
    <m/>
    <m/>
    <n v="-60"/>
    <m/>
    <m/>
    <m/>
  </r>
  <r>
    <x v="430"/>
    <m/>
    <x v="42"/>
    <m/>
    <s v="Card charge (FACEBK *Z24395V2D2)"/>
    <x v="95"/>
    <m/>
    <m/>
    <m/>
    <m/>
    <m/>
    <n v="-900"/>
    <m/>
    <m/>
    <m/>
  </r>
  <r>
    <x v="431"/>
    <m/>
    <x v="35"/>
    <m/>
    <s v="Card charge (FACEBK *PQKYY4V2X2)"/>
    <x v="95"/>
    <m/>
    <m/>
    <m/>
    <m/>
    <m/>
    <n v="-100"/>
    <m/>
    <m/>
    <m/>
  </r>
  <r>
    <x v="431"/>
    <m/>
    <x v="42"/>
    <m/>
    <s v="Payment to Gersson Lopez"/>
    <x v="95"/>
    <m/>
    <m/>
    <m/>
    <m/>
    <m/>
    <n v="-2622"/>
    <m/>
    <m/>
    <m/>
  </r>
  <r>
    <x v="431"/>
    <m/>
    <x v="35"/>
    <m/>
    <s v="Card charge (FACEBK *V6DGL3VW22)"/>
    <x v="95"/>
    <m/>
    <m/>
    <m/>
    <m/>
    <m/>
    <n v="-30"/>
    <m/>
    <m/>
    <m/>
  </r>
  <r>
    <x v="431"/>
    <m/>
    <x v="35"/>
    <m/>
    <s v="Card charge (FACEBK *KU7C85VZW2)"/>
    <x v="95"/>
    <m/>
    <m/>
    <m/>
    <m/>
    <m/>
    <n v="-60"/>
    <m/>
    <m/>
    <m/>
  </r>
  <r>
    <x v="432"/>
    <m/>
    <x v="35"/>
    <m/>
    <s v="Card charge (FACEBK *UPYJ8692X2)"/>
    <x v="95"/>
    <m/>
    <m/>
    <m/>
    <m/>
    <m/>
    <n v="-100"/>
    <m/>
    <m/>
    <m/>
  </r>
  <r>
    <x v="432"/>
    <m/>
    <x v="35"/>
    <m/>
    <s v="Card charge (FACEBK *WQCMH2MW22)"/>
    <x v="95"/>
    <m/>
    <m/>
    <m/>
    <m/>
    <m/>
    <n v="-60"/>
    <m/>
    <m/>
    <m/>
  </r>
  <r>
    <x v="432"/>
    <m/>
    <x v="35"/>
    <m/>
    <s v="Card charge (FACEBK *JQEGR4H2X2)"/>
    <x v="95"/>
    <m/>
    <m/>
    <m/>
    <m/>
    <m/>
    <n v="-33"/>
    <m/>
    <m/>
    <m/>
  </r>
  <r>
    <x v="432"/>
    <m/>
    <x v="35"/>
    <m/>
    <s v="Card charge (FACEBK *XM4EM3VW22)"/>
    <x v="95"/>
    <m/>
    <m/>
    <m/>
    <m/>
    <m/>
    <n v="-60"/>
    <m/>
    <m/>
    <m/>
  </r>
  <r>
    <x v="432"/>
    <m/>
    <x v="42"/>
    <m/>
    <s v="Card charge (FACEBK *VGFUA4Z2D2)"/>
    <x v="95"/>
    <m/>
    <m/>
    <m/>
    <m/>
    <m/>
    <n v="-90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42"/>
    <m/>
    <s v="Card charge (MANYCHAT.COM)"/>
    <x v="81"/>
    <m/>
    <m/>
    <m/>
    <m/>
    <m/>
    <n v="-20"/>
    <m/>
    <m/>
    <m/>
  </r>
  <r>
    <x v="432"/>
    <m/>
    <x v="37"/>
    <m/>
    <s v="VENTAS DEL 16 OCT AL 27 OCT"/>
    <x v="60"/>
    <m/>
    <m/>
    <m/>
    <m/>
    <n v="1937"/>
    <m/>
    <m/>
    <m/>
    <m/>
  </r>
  <r>
    <x v="433"/>
    <m/>
    <x v="42"/>
    <m/>
    <s v="Card charge (FACEBK *LMFRG493D2)"/>
    <x v="95"/>
    <m/>
    <m/>
    <m/>
    <m/>
    <m/>
    <n v="-900"/>
    <m/>
    <m/>
    <m/>
  </r>
  <r>
    <x v="433"/>
    <m/>
    <x v="35"/>
    <m/>
    <s v="Card charge (FACEBK *RYCAS5D2X2)"/>
    <x v="95"/>
    <m/>
    <m/>
    <m/>
    <m/>
    <m/>
    <n v="-37"/>
    <m/>
    <m/>
    <m/>
  </r>
  <r>
    <x v="433"/>
    <m/>
    <x v="35"/>
    <m/>
    <s v="Card charge (FACEBK *MZTRA39W22)"/>
    <x v="95"/>
    <m/>
    <m/>
    <m/>
    <m/>
    <m/>
    <n v="-60"/>
    <m/>
    <m/>
    <m/>
  </r>
  <r>
    <x v="433"/>
    <m/>
    <x v="2"/>
    <s v="VPS PUNTAJE"/>
    <s v="Card charge (HOSTINGER* HOSTINGER.C)"/>
    <x v="33"/>
    <m/>
    <m/>
    <m/>
    <m/>
    <m/>
    <n v="-21.51"/>
    <m/>
    <m/>
    <m/>
  </r>
  <r>
    <x v="433"/>
    <m/>
    <x v="2"/>
    <s v="VPS ERP"/>
    <s v="Card charge (HOSTINGER* HOSTINGER.C)"/>
    <x v="33"/>
    <m/>
    <m/>
    <m/>
    <m/>
    <m/>
    <n v="-13.7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3"/>
    <m/>
    <m/>
    <x v="208"/>
    <m/>
    <m/>
    <m/>
    <m/>
    <m/>
    <m/>
    <m/>
    <m/>
    <m/>
  </r>
  <r>
    <x v="433"/>
    <m/>
    <x v="42"/>
    <m/>
    <s v="Card charge (MANYCHAT.COM)"/>
    <x v="81"/>
    <m/>
    <m/>
    <m/>
    <m/>
    <m/>
    <n v="-20"/>
    <m/>
    <m/>
    <m/>
  </r>
  <r>
    <x v="433"/>
    <m/>
    <x v="42"/>
    <m/>
    <s v="Card charge (MANYCHAT.COM)"/>
    <x v="81"/>
    <m/>
    <m/>
    <m/>
    <m/>
    <m/>
    <n v="-20"/>
    <m/>
    <m/>
    <m/>
  </r>
  <r>
    <x v="434"/>
    <m/>
    <x v="35"/>
    <m/>
    <s v="Card charge (FACEBK *7M2UX5M2X2)"/>
    <x v="95"/>
    <m/>
    <m/>
    <m/>
    <m/>
    <m/>
    <n v="-100"/>
    <m/>
    <m/>
    <m/>
  </r>
  <r>
    <x v="434"/>
    <m/>
    <x v="35"/>
    <m/>
    <s v="Card charge (FACEBK *KH8SU3VV22)"/>
    <x v="95"/>
    <m/>
    <m/>
    <m/>
    <m/>
    <m/>
    <n v="-60"/>
    <m/>
    <m/>
    <m/>
  </r>
  <r>
    <x v="434"/>
    <m/>
    <x v="35"/>
    <m/>
    <s v="Card charge (FACEBK *45CDJ652X2)"/>
    <x v="95"/>
    <m/>
    <m/>
    <m/>
    <m/>
    <m/>
    <n v="-41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4"/>
    <m/>
    <x v="42"/>
    <m/>
    <s v="Card charge (MANYCHAT.COM)"/>
    <x v="81"/>
    <m/>
    <m/>
    <m/>
    <m/>
    <m/>
    <n v="-20"/>
    <m/>
    <m/>
    <m/>
  </r>
  <r>
    <x v="435"/>
    <m/>
    <x v="35"/>
    <m/>
    <s v="Card charge (FACEBK *6ZRHX3VV22)"/>
    <x v="95"/>
    <m/>
    <m/>
    <m/>
    <m/>
    <m/>
    <n v="-60"/>
    <m/>
    <m/>
    <m/>
  </r>
  <r>
    <x v="435"/>
    <m/>
    <x v="35"/>
    <m/>
    <s v="Card charge (FACEBK *MBNP23HW22)"/>
    <x v="95"/>
    <m/>
    <m/>
    <m/>
    <m/>
    <m/>
    <n v="-60"/>
    <m/>
    <m/>
    <m/>
  </r>
  <r>
    <x v="435"/>
    <m/>
    <x v="42"/>
    <m/>
    <s v="Card charge (FACEBK *WKW9Y4D3D2)"/>
    <x v="95"/>
    <m/>
    <m/>
    <m/>
    <m/>
    <m/>
    <n v="-90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42"/>
    <m/>
    <s v="Card charge (MANYCHAT.COM)"/>
    <x v="81"/>
    <m/>
    <m/>
    <m/>
    <m/>
    <m/>
    <n v="-20"/>
    <m/>
    <m/>
    <m/>
  </r>
  <r>
    <x v="435"/>
    <m/>
    <x v="22"/>
    <m/>
    <s v="VENTAS OCTUBRE ADRI"/>
    <x v="60"/>
    <m/>
    <n v="1749"/>
    <m/>
    <m/>
    <m/>
    <m/>
    <m/>
    <m/>
    <m/>
  </r>
  <r>
    <x v="436"/>
    <m/>
    <x v="35"/>
    <m/>
    <s v="VENTAS OCTUBRE"/>
    <x v="60"/>
    <m/>
    <m/>
    <m/>
    <m/>
    <n v="4090"/>
    <m/>
    <m/>
    <m/>
    <m/>
  </r>
  <r>
    <x v="436"/>
    <m/>
    <x v="35"/>
    <m/>
    <s v="Card charge (FACEBK *Y4T826D2X2)"/>
    <x v="95"/>
    <m/>
    <m/>
    <m/>
    <m/>
    <m/>
    <n v="-45"/>
    <m/>
    <m/>
    <m/>
  </r>
  <r>
    <x v="436"/>
    <m/>
    <x v="42"/>
    <m/>
    <s v="Card charge (FACEBK *VXWPP6V3D2)"/>
    <x v="95"/>
    <m/>
    <m/>
    <m/>
    <m/>
    <m/>
    <n v="-900"/>
    <m/>
    <m/>
    <m/>
  </r>
  <r>
    <x v="436"/>
    <m/>
    <x v="42"/>
    <m/>
    <s v="Card charge (MANYCHAT.COM)"/>
    <x v="81"/>
    <m/>
    <m/>
    <m/>
    <m/>
    <m/>
    <n v="-20"/>
    <m/>
    <m/>
    <m/>
  </r>
  <r>
    <x v="437"/>
    <m/>
    <x v="35"/>
    <m/>
    <s v="Card charge (FACEBK *HWQN73HW22)"/>
    <x v="95"/>
    <m/>
    <m/>
    <m/>
    <m/>
    <m/>
    <n v="-60"/>
    <m/>
    <m/>
    <m/>
  </r>
  <r>
    <x v="437"/>
    <m/>
    <x v="42"/>
    <m/>
    <s v="Card charge (FACEBK *8L9ZS6V3D2)"/>
    <x v="95"/>
    <m/>
    <m/>
    <m/>
    <m/>
    <m/>
    <n v="-900"/>
    <m/>
    <m/>
    <m/>
  </r>
  <r>
    <x v="437"/>
    <m/>
    <x v="35"/>
    <m/>
    <s v="Card charge (FACEBK *BRQ9Y3RW22)"/>
    <x v="95"/>
    <m/>
    <m/>
    <m/>
    <m/>
    <m/>
    <n v="-60"/>
    <m/>
    <m/>
    <m/>
  </r>
  <r>
    <x v="437"/>
    <m/>
    <x v="35"/>
    <m/>
    <s v="Card charge (FACEBK *H7EK935W22)"/>
    <x v="95"/>
    <m/>
    <m/>
    <m/>
    <m/>
    <m/>
    <n v="-60"/>
    <m/>
    <m/>
    <m/>
  </r>
  <r>
    <x v="437"/>
    <m/>
    <x v="2"/>
    <s v="DOMINIO"/>
    <s v="Card charge (GOOGLE *GSUITE_automsc)"/>
    <x v="195"/>
    <m/>
    <m/>
    <m/>
    <m/>
    <m/>
    <n v="-12"/>
    <m/>
    <m/>
    <m/>
  </r>
  <r>
    <x v="438"/>
    <m/>
    <x v="42"/>
    <m/>
    <s v="Card charge (FACEBK *UN2CB5D3D2)"/>
    <x v="95"/>
    <m/>
    <m/>
    <m/>
    <m/>
    <m/>
    <n v="-900"/>
    <m/>
    <m/>
    <m/>
  </r>
  <r>
    <x v="438"/>
    <m/>
    <x v="42"/>
    <m/>
    <s v="Card charge (FACEBK *JTV8W493D2)"/>
    <x v="95"/>
    <m/>
    <m/>
    <m/>
    <m/>
    <m/>
    <n v="-900"/>
    <m/>
    <m/>
    <m/>
  </r>
  <r>
    <x v="438"/>
    <m/>
    <x v="35"/>
    <m/>
    <s v="Card charge (FACEBK *48M4G35W22)"/>
    <x v="95"/>
    <m/>
    <m/>
    <m/>
    <m/>
    <m/>
    <n v="-60"/>
    <m/>
    <m/>
    <m/>
  </r>
  <r>
    <x v="438"/>
    <m/>
    <x v="35"/>
    <m/>
    <s v="Card charge (FACEBK *6X3KQ39W22)"/>
    <x v="95"/>
    <m/>
    <m/>
    <m/>
    <m/>
    <m/>
    <n v="-60"/>
    <m/>
    <m/>
    <m/>
  </r>
  <r>
    <x v="438"/>
    <m/>
    <x v="35"/>
    <m/>
    <s v="Card charge (FACEBK *YMHES5VZW2)"/>
    <x v="95"/>
    <m/>
    <m/>
    <m/>
    <m/>
    <m/>
    <n v="-49"/>
    <m/>
    <m/>
    <m/>
  </r>
  <r>
    <x v="438"/>
    <m/>
    <x v="35"/>
    <m/>
    <s v="Card charge (FACEBK *BCTN66D2X2)"/>
    <x v="95"/>
    <m/>
    <m/>
    <m/>
    <m/>
    <m/>
    <n v="-100"/>
    <m/>
    <m/>
    <m/>
  </r>
  <r>
    <x v="438"/>
    <m/>
    <x v="42"/>
    <m/>
    <s v="Card charge (MANYCHAT.COM)"/>
    <x v="81"/>
    <m/>
    <m/>
    <m/>
    <m/>
    <m/>
    <n v="-20"/>
    <m/>
    <m/>
    <m/>
  </r>
  <r>
    <x v="438"/>
    <m/>
    <x v="42"/>
    <m/>
    <s v="Card charge (MANYCHAT.COM)"/>
    <x v="81"/>
    <m/>
    <m/>
    <m/>
    <m/>
    <m/>
    <n v="-20"/>
    <m/>
    <m/>
    <m/>
  </r>
  <r>
    <x v="438"/>
    <m/>
    <x v="42"/>
    <m/>
    <s v="Card charge (MANYCHAT.COM)"/>
    <x v="81"/>
    <m/>
    <m/>
    <m/>
    <m/>
    <m/>
    <n v="-20"/>
    <m/>
    <m/>
    <m/>
  </r>
  <r>
    <x v="438"/>
    <m/>
    <x v="42"/>
    <m/>
    <s v="Card charge (MANYCHAT.COM)"/>
    <x v="81"/>
    <m/>
    <m/>
    <m/>
    <m/>
    <m/>
    <n v="-20"/>
    <m/>
    <m/>
    <m/>
  </r>
  <r>
    <x v="438"/>
    <m/>
    <x v="42"/>
    <m/>
    <s v="Card charge (MANYCHAT.COM)"/>
    <x v="81"/>
    <m/>
    <m/>
    <m/>
    <m/>
    <m/>
    <n v="-20"/>
    <m/>
    <m/>
    <m/>
  </r>
  <r>
    <x v="438"/>
    <m/>
    <x v="42"/>
    <m/>
    <s v="Card charge (MANYCHAT.COM)"/>
    <x v="81"/>
    <m/>
    <m/>
    <m/>
    <m/>
    <m/>
    <n v="-20"/>
    <m/>
    <m/>
    <m/>
  </r>
  <r>
    <x v="438"/>
    <m/>
    <x v="2"/>
    <m/>
    <s v="Consumo con la tarjeta (DLO*GOOGLE Google One)"/>
    <x v="183"/>
    <m/>
    <m/>
    <m/>
    <m/>
    <m/>
    <n v="-30"/>
    <m/>
    <m/>
    <m/>
  </r>
  <r>
    <x v="439"/>
    <m/>
    <x v="35"/>
    <m/>
    <s v="Card charge (FACEBK *BX6GC6M2X2)"/>
    <x v="95"/>
    <m/>
    <m/>
    <m/>
    <m/>
    <m/>
    <n v="-5.22"/>
    <m/>
    <m/>
    <m/>
  </r>
  <r>
    <x v="439"/>
    <m/>
    <x v="2"/>
    <s v="NOMINA NOVIEMBRE"/>
    <s v="Payment to Regent Bank (7498)"/>
    <x v="141"/>
    <m/>
    <m/>
    <m/>
    <m/>
    <m/>
    <n v="-3500"/>
    <m/>
    <m/>
    <m/>
  </r>
  <r>
    <x v="439"/>
    <m/>
    <x v="42"/>
    <m/>
    <s v="Card charge (MANYCHAT.COM)"/>
    <x v="81"/>
    <m/>
    <m/>
    <m/>
    <m/>
    <m/>
    <n v="-20"/>
    <m/>
    <m/>
    <m/>
  </r>
  <r>
    <x v="439"/>
    <m/>
    <x v="35"/>
    <m/>
    <s v="Card charge (FACEBK *H59AD6M2X2)"/>
    <x v="95"/>
    <m/>
    <m/>
    <m/>
    <m/>
    <m/>
    <n v="-100"/>
    <m/>
    <m/>
    <m/>
  </r>
  <r>
    <x v="439"/>
    <m/>
    <x v="35"/>
    <m/>
    <s v="Card charge (FACEBK *4N7593ZV22)"/>
    <x v="95"/>
    <m/>
    <m/>
    <m/>
    <m/>
    <m/>
    <n v="-60"/>
    <m/>
    <m/>
    <m/>
  </r>
  <r>
    <x v="439"/>
    <m/>
    <x v="42"/>
    <m/>
    <s v="Consumo con la tarjeta (HOTMART)"/>
    <x v="187"/>
    <m/>
    <m/>
    <m/>
    <m/>
    <m/>
    <n v="-100"/>
    <m/>
    <m/>
    <m/>
  </r>
  <r>
    <x v="439"/>
    <m/>
    <x v="28"/>
    <m/>
    <s v="REPARTICIÓN SANTIAGO (28,66%)"/>
    <x v="207"/>
    <m/>
    <m/>
    <m/>
    <m/>
    <m/>
    <n v="-14851"/>
    <m/>
    <m/>
    <m/>
  </r>
  <r>
    <x v="439"/>
    <m/>
    <x v="28"/>
    <m/>
    <s v="REPARTICIÓN FRAN (28,66%)"/>
    <x v="207"/>
    <m/>
    <m/>
    <m/>
    <m/>
    <m/>
    <n v="-14851"/>
    <m/>
    <m/>
    <m/>
  </r>
  <r>
    <x v="439"/>
    <m/>
    <x v="28"/>
    <m/>
    <s v="REPARTICIÓN JUANCA (28,66%)"/>
    <x v="207"/>
    <m/>
    <n v="-14851"/>
    <m/>
    <m/>
    <m/>
    <m/>
    <m/>
    <m/>
    <m/>
  </r>
  <r>
    <x v="439"/>
    <m/>
    <x v="2"/>
    <s v="NOMINA NOVIEMBRE"/>
    <s v="AJUSTE PAGO NOMINA"/>
    <x v="141"/>
    <m/>
    <m/>
    <m/>
    <m/>
    <m/>
    <n v="-70"/>
    <m/>
    <m/>
    <m/>
  </r>
  <r>
    <x v="439"/>
    <m/>
    <x v="2"/>
    <m/>
    <s v="Card charge (CLAUDE.AI SUBSCRIPTION)"/>
    <x v="176"/>
    <m/>
    <m/>
    <m/>
    <m/>
    <m/>
    <n v="-20"/>
    <m/>
    <m/>
    <m/>
  </r>
  <r>
    <x v="439"/>
    <m/>
    <x v="42"/>
    <m/>
    <s v="Card charge (FACEBK *3J7DD5D3D2)"/>
    <x v="95"/>
    <m/>
    <m/>
    <m/>
    <m/>
    <m/>
    <n v="-680.41"/>
    <m/>
    <m/>
    <m/>
  </r>
  <r>
    <x v="440"/>
    <m/>
    <x v="35"/>
    <m/>
    <s v="Card charge (FACEBK *V6SBG7R2X2)"/>
    <x v="95"/>
    <m/>
    <m/>
    <m/>
    <m/>
    <m/>
    <n v="-54"/>
    <m/>
    <m/>
    <m/>
  </r>
  <r>
    <x v="440"/>
    <m/>
    <x v="35"/>
    <m/>
    <s v="Card charge (FACEBK *GL7YD4VW22)"/>
    <x v="95"/>
    <m/>
    <m/>
    <m/>
    <m/>
    <m/>
    <n v="-60"/>
    <m/>
    <m/>
    <m/>
  </r>
  <r>
    <x v="440"/>
    <m/>
    <x v="35"/>
    <m/>
    <s v="Card charge (FACEBK *BSL7U5ZZW2)"/>
    <x v="95"/>
    <m/>
    <m/>
    <m/>
    <m/>
    <m/>
    <n v="-100"/>
    <m/>
    <m/>
    <m/>
  </r>
  <r>
    <x v="441"/>
    <m/>
    <x v="42"/>
    <s v="HOSTING"/>
    <s v="Card charge (HOSTINGER* HOSTINGER.C)"/>
    <x v="33"/>
    <m/>
    <m/>
    <m/>
    <m/>
    <m/>
    <n v="-14.68"/>
    <m/>
    <m/>
    <m/>
  </r>
  <r>
    <x v="441"/>
    <m/>
    <x v="2"/>
    <m/>
    <s v="Card charge (HOTMART*DL)"/>
    <x v="33"/>
    <m/>
    <m/>
    <m/>
    <m/>
    <m/>
    <n v="-11.26"/>
    <m/>
    <m/>
    <m/>
  </r>
  <r>
    <x v="442"/>
    <m/>
    <x v="35"/>
    <m/>
    <s v="Card charge (FACEBK *LHMPN7R2X2)"/>
    <x v="95"/>
    <m/>
    <m/>
    <m/>
    <m/>
    <m/>
    <n v="-25.7"/>
    <m/>
    <m/>
    <m/>
  </r>
  <r>
    <x v="442"/>
    <m/>
    <x v="35"/>
    <m/>
    <s v="Card charge (FACEBK *TDNCC4DW22)"/>
    <x v="95"/>
    <m/>
    <m/>
    <m/>
    <m/>
    <m/>
    <n v="-60"/>
    <m/>
    <m/>
    <m/>
  </r>
  <r>
    <x v="442"/>
    <m/>
    <x v="35"/>
    <m/>
    <s v="Card charge (FACEBK *K8TDJ4VW22)"/>
    <x v="95"/>
    <m/>
    <m/>
    <m/>
    <m/>
    <m/>
    <n v="-60"/>
    <m/>
    <m/>
    <m/>
  </r>
  <r>
    <x v="442"/>
    <m/>
    <x v="2"/>
    <m/>
    <s v="Card charge (HOTMART)"/>
    <x v="187"/>
    <m/>
    <m/>
    <m/>
    <m/>
    <m/>
    <n v="-99"/>
    <m/>
    <m/>
    <m/>
  </r>
  <r>
    <x v="442"/>
    <m/>
    <x v="35"/>
    <m/>
    <s v="Card charge (FACEBK *3DWFM6M2X2)"/>
    <x v="95"/>
    <m/>
    <m/>
    <m/>
    <m/>
    <m/>
    <n v="-100"/>
    <m/>
    <m/>
    <m/>
  </r>
  <r>
    <x v="443"/>
    <m/>
    <x v="2"/>
    <m/>
    <s v="Payment to Elevatech LLC"/>
    <x v="209"/>
    <m/>
    <m/>
    <m/>
    <m/>
    <m/>
    <n v="-3997"/>
    <m/>
    <m/>
    <m/>
  </r>
  <r>
    <x v="443"/>
    <m/>
    <x v="42"/>
    <m/>
    <s v="Card charge (MANYCHAT.COM)"/>
    <x v="81"/>
    <m/>
    <m/>
    <m/>
    <m/>
    <m/>
    <n v="-419.51"/>
    <m/>
    <m/>
    <m/>
  </r>
  <r>
    <x v="444"/>
    <m/>
    <x v="35"/>
    <m/>
    <s v="Card charge (FACEBK *PAEXH4DW22)"/>
    <x v="95"/>
    <m/>
    <m/>
    <m/>
    <m/>
    <m/>
    <n v="-60"/>
    <m/>
    <m/>
    <m/>
  </r>
  <r>
    <x v="444"/>
    <m/>
    <x v="35"/>
    <m/>
    <s v="Card charge (FACEBK *7Y4FF3MW22)"/>
    <x v="95"/>
    <m/>
    <m/>
    <m/>
    <m/>
    <m/>
    <n v="-60"/>
    <m/>
    <m/>
    <m/>
  </r>
  <r>
    <x v="444"/>
    <m/>
    <x v="35"/>
    <m/>
    <s v="Card charge (FACEBK *LX4DR3HW22)"/>
    <x v="95"/>
    <m/>
    <m/>
    <m/>
    <m/>
    <m/>
    <n v="-60"/>
    <m/>
    <m/>
    <m/>
  </r>
  <r>
    <x v="444"/>
    <m/>
    <x v="42"/>
    <s v="VPS N8N"/>
    <s v="Card charge (hostinger.com)"/>
    <x v="33"/>
    <m/>
    <m/>
    <m/>
    <m/>
    <m/>
    <n v="-15.74"/>
    <m/>
    <m/>
    <m/>
  </r>
  <r>
    <x v="444"/>
    <m/>
    <x v="2"/>
    <m/>
    <s v="Card charge (PAYPAL *CAPCUT)"/>
    <x v="196"/>
    <m/>
    <m/>
    <m/>
    <m/>
    <m/>
    <n v="-16.600000000000001"/>
    <m/>
    <m/>
    <m/>
  </r>
  <r>
    <x v="445"/>
    <m/>
    <x v="35"/>
    <m/>
    <s v="Card charge (FACEBK *UJKW345W22)"/>
    <x v="95"/>
    <m/>
    <m/>
    <m/>
    <m/>
    <m/>
    <n v="-60"/>
    <m/>
    <m/>
    <m/>
  </r>
  <r>
    <x v="445"/>
    <m/>
    <x v="2"/>
    <m/>
    <s v="Card charge (STAPE  INC.)"/>
    <x v="75"/>
    <m/>
    <m/>
    <m/>
    <m/>
    <m/>
    <n v="-50"/>
    <m/>
    <m/>
    <m/>
  </r>
  <r>
    <x v="445"/>
    <m/>
    <x v="42"/>
    <s v="EASYPANEL"/>
    <s v="Card charge (hostinger.com)"/>
    <x v="33"/>
    <m/>
    <m/>
    <m/>
    <m/>
    <m/>
    <n v="-65.489999999999995"/>
    <m/>
    <m/>
    <m/>
  </r>
  <r>
    <x v="446"/>
    <m/>
    <x v="35"/>
    <m/>
    <s v="Card charge (FACEBK *LMVKP4DW22)"/>
    <x v="95"/>
    <m/>
    <m/>
    <m/>
    <m/>
    <m/>
    <n v="-60"/>
    <m/>
    <m/>
    <m/>
  </r>
  <r>
    <x v="446"/>
    <m/>
    <x v="35"/>
    <m/>
    <s v="Card charge (FACEBK *NECGX5H2X2)"/>
    <x v="95"/>
    <m/>
    <m/>
    <m/>
    <m/>
    <m/>
    <n v="-100"/>
    <m/>
    <m/>
    <m/>
  </r>
  <r>
    <x v="447"/>
    <m/>
    <x v="35"/>
    <m/>
    <s v="Card charge (FACEBK *TJ54S4DW22)"/>
    <x v="95"/>
    <m/>
    <m/>
    <m/>
    <m/>
    <m/>
    <n v="-60"/>
    <m/>
    <m/>
    <m/>
  </r>
  <r>
    <x v="448"/>
    <m/>
    <x v="35"/>
    <m/>
    <s v="Card charge (FACEBK *8XY755VV22)"/>
    <x v="95"/>
    <m/>
    <m/>
    <m/>
    <m/>
    <m/>
    <n v="-60"/>
    <m/>
    <m/>
    <m/>
  </r>
  <r>
    <x v="448"/>
    <m/>
    <x v="35"/>
    <m/>
    <s v="Card charge (FACEBK *ERJNM49W22)"/>
    <x v="95"/>
    <m/>
    <m/>
    <m/>
    <m/>
    <m/>
    <n v="-60"/>
    <m/>
    <m/>
    <m/>
  </r>
  <r>
    <x v="448"/>
    <m/>
    <x v="35"/>
    <m/>
    <s v="Card charge (FACEBK *JM6SM6ZPX2)"/>
    <x v="95"/>
    <m/>
    <m/>
    <m/>
    <m/>
    <m/>
    <n v="-648.46"/>
    <m/>
    <m/>
    <m/>
  </r>
  <r>
    <x v="449"/>
    <m/>
    <x v="35"/>
    <m/>
    <s v="Card charge (FACEBK *VKHUT752X2)"/>
    <x v="95"/>
    <m/>
    <m/>
    <m/>
    <m/>
    <m/>
    <n v="-59"/>
    <m/>
    <m/>
    <m/>
  </r>
  <r>
    <x v="449"/>
    <m/>
    <x v="35"/>
    <m/>
    <s v="Card charge (FACEBK *3TK5R49W22)"/>
    <x v="95"/>
    <m/>
    <m/>
    <m/>
    <m/>
    <m/>
    <n v="-60"/>
    <m/>
    <m/>
    <m/>
  </r>
  <r>
    <x v="450"/>
    <m/>
    <x v="12"/>
    <m/>
    <s v="Payment from Hotmart"/>
    <x v="190"/>
    <m/>
    <m/>
    <m/>
    <m/>
    <n v="-6997"/>
    <n v="6997"/>
    <m/>
    <m/>
    <m/>
  </r>
  <r>
    <x v="451"/>
    <m/>
    <x v="35"/>
    <m/>
    <s v="Card charge (FACEBK *PFNP94ZV22)"/>
    <x v="95"/>
    <m/>
    <m/>
    <m/>
    <m/>
    <m/>
    <n v="-60"/>
    <m/>
    <m/>
    <m/>
  </r>
  <r>
    <x v="451"/>
    <m/>
    <x v="35"/>
    <m/>
    <s v="Card charge (FACEBK *AWGWB4HW22)"/>
    <x v="95"/>
    <m/>
    <m/>
    <m/>
    <m/>
    <m/>
    <n v="-60"/>
    <m/>
    <m/>
    <m/>
  </r>
  <r>
    <x v="451"/>
    <m/>
    <x v="44"/>
    <m/>
    <s v="Card charge (FACEBK *EDT928V3D2)"/>
    <x v="95"/>
    <m/>
    <m/>
    <m/>
    <m/>
    <m/>
    <n v="-603.39"/>
    <m/>
    <m/>
    <m/>
  </r>
  <r>
    <x v="452"/>
    <m/>
    <x v="35"/>
    <m/>
    <s v="Card charge (FACEBK *3TBLD4ZV22)"/>
    <x v="95"/>
    <m/>
    <m/>
    <m/>
    <m/>
    <m/>
    <n v="-60"/>
    <m/>
    <m/>
    <m/>
  </r>
  <r>
    <x v="452"/>
    <m/>
    <x v="35"/>
    <m/>
    <s v="Card charge (FACEBK *HPD9E5VV22)"/>
    <x v="95"/>
    <m/>
    <m/>
    <m/>
    <m/>
    <m/>
    <n v="-60"/>
    <m/>
    <m/>
    <m/>
  </r>
  <r>
    <x v="453"/>
    <m/>
    <x v="12"/>
    <m/>
    <s v="Payment from Hotmart"/>
    <x v="190"/>
    <m/>
    <m/>
    <m/>
    <m/>
    <n v="-19997"/>
    <n v="19997"/>
    <m/>
    <m/>
    <m/>
  </r>
  <r>
    <x v="453"/>
    <m/>
    <x v="35"/>
    <m/>
    <s v="Card charge (FACEBK *Q7HQG5VV22)"/>
    <x v="95"/>
    <m/>
    <m/>
    <m/>
    <m/>
    <m/>
    <n v="-7.31"/>
    <m/>
    <m/>
    <m/>
  </r>
  <r>
    <x v="454"/>
    <m/>
    <x v="12"/>
    <m/>
    <s v="Payment from Hotmart"/>
    <x v="190"/>
    <m/>
    <m/>
    <m/>
    <m/>
    <n v="-17997"/>
    <n v="17997"/>
    <m/>
    <m/>
    <m/>
  </r>
  <r>
    <x v="454"/>
    <m/>
    <x v="35"/>
    <m/>
    <s v="Card charge (FACEBK *Q9K7C4MW22)"/>
    <x v="95"/>
    <m/>
    <m/>
    <m/>
    <m/>
    <m/>
    <n v="-60"/>
    <m/>
    <m/>
    <m/>
  </r>
  <r>
    <x v="455"/>
    <m/>
    <x v="35"/>
    <m/>
    <s v="Card charge (FACEBK *JA94959W22)"/>
    <x v="95"/>
    <m/>
    <m/>
    <m/>
    <m/>
    <m/>
    <n v="-60"/>
    <m/>
    <m/>
    <m/>
  </r>
  <r>
    <x v="455"/>
    <m/>
    <x v="44"/>
    <m/>
    <s v="Card charge (FACEBK *349CC7V2D2)"/>
    <x v="95"/>
    <m/>
    <m/>
    <m/>
    <m/>
    <m/>
    <n v="-900"/>
    <m/>
    <m/>
    <m/>
  </r>
  <r>
    <x v="456"/>
    <m/>
    <x v="12"/>
    <m/>
    <s v="Payment from Hotmart"/>
    <x v="190"/>
    <m/>
    <m/>
    <m/>
    <m/>
    <n v="-9758.26"/>
    <n v="9758.26"/>
    <m/>
    <m/>
    <m/>
  </r>
  <r>
    <x v="456"/>
    <m/>
    <x v="35"/>
    <m/>
    <s v="Card charge (FACEBK *J7Y3T4HW22)"/>
    <x v="95"/>
    <m/>
    <m/>
    <m/>
    <m/>
    <m/>
    <n v="-60"/>
    <m/>
    <m/>
    <m/>
  </r>
  <r>
    <x v="456"/>
    <m/>
    <x v="35"/>
    <m/>
    <s v="Card charge (FACEBK *FF3CN5RW22)"/>
    <x v="95"/>
    <m/>
    <m/>
    <m/>
    <m/>
    <m/>
    <n v="-60"/>
    <m/>
    <m/>
    <m/>
  </r>
  <r>
    <x v="457"/>
    <m/>
    <x v="2"/>
    <m/>
    <s v="Card charge (VANGUARD BUSINESS)"/>
    <x v="210"/>
    <m/>
    <m/>
    <m/>
    <m/>
    <m/>
    <n v="-590"/>
    <m/>
    <m/>
    <m/>
  </r>
  <r>
    <x v="457"/>
    <m/>
    <x v="35"/>
    <m/>
    <s v="Card charge (FACEBK *N9ZEV4HW22)"/>
    <x v="95"/>
    <m/>
    <m/>
    <m/>
    <m/>
    <m/>
    <n v="-60"/>
    <m/>
    <m/>
    <m/>
  </r>
  <r>
    <x v="458"/>
    <m/>
    <x v="35"/>
    <m/>
    <s v="Card charge (FACEBK *8JQEV4ZV22)"/>
    <x v="95"/>
    <m/>
    <m/>
    <m/>
    <m/>
    <m/>
    <n v="-60"/>
    <m/>
    <m/>
    <m/>
  </r>
  <r>
    <x v="458"/>
    <m/>
    <x v="35"/>
    <m/>
    <s v="Card charge (FACEBK *R8D9Q4MW22)"/>
    <x v="95"/>
    <m/>
    <m/>
    <m/>
    <m/>
    <m/>
    <n v="-60"/>
    <m/>
    <m/>
    <m/>
  </r>
  <r>
    <x v="458"/>
    <m/>
    <x v="35"/>
    <m/>
    <s v="Card charge (FACEBK *Q6D2U4ZV22)"/>
    <x v="95"/>
    <m/>
    <m/>
    <m/>
    <m/>
    <m/>
    <n v="-60"/>
    <m/>
    <m/>
    <m/>
  </r>
  <r>
    <x v="458"/>
    <m/>
    <x v="35"/>
    <m/>
    <s v="Card charge (FACEBK *SLL4T4ZV22)"/>
    <x v="95"/>
    <m/>
    <m/>
    <m/>
    <m/>
    <m/>
    <n v="-60"/>
    <m/>
    <m/>
    <m/>
  </r>
  <r>
    <x v="458"/>
    <m/>
    <x v="35"/>
    <m/>
    <s v="Card charge (FACEBK *DR3NM5DW22)"/>
    <x v="95"/>
    <m/>
    <m/>
    <m/>
    <m/>
    <m/>
    <n v="-60"/>
    <m/>
    <m/>
    <m/>
  </r>
  <r>
    <x v="458"/>
    <m/>
    <x v="35"/>
    <m/>
    <s v="Card charge (FACEBK *ACNM355W22)"/>
    <x v="95"/>
    <m/>
    <m/>
    <m/>
    <m/>
    <m/>
    <n v="-60"/>
    <m/>
    <m/>
    <m/>
  </r>
  <r>
    <x v="459"/>
    <m/>
    <x v="2"/>
    <m/>
    <s v="Card charge (PANDAVIDEO.COM)"/>
    <x v="192"/>
    <m/>
    <m/>
    <m/>
    <m/>
    <m/>
    <n v="-37.9"/>
    <m/>
    <m/>
    <m/>
  </r>
  <r>
    <x v="459"/>
    <m/>
    <x v="35"/>
    <m/>
    <s v="Card charge (FACEBK *SXNUY5VV22)"/>
    <x v="95"/>
    <m/>
    <m/>
    <m/>
    <m/>
    <m/>
    <n v="-60"/>
    <m/>
    <m/>
    <m/>
  </r>
  <r>
    <x v="460"/>
    <m/>
    <x v="2"/>
    <m/>
    <s v="Card charge (STREAMYARD.COM)"/>
    <x v="168"/>
    <m/>
    <m/>
    <m/>
    <m/>
    <m/>
    <n v="-88.99"/>
    <m/>
    <m/>
    <m/>
  </r>
  <r>
    <x v="460"/>
    <m/>
    <x v="35"/>
    <m/>
    <s v="Card charge (FACEBK *YS3HU5DW22)"/>
    <x v="95"/>
    <m/>
    <m/>
    <m/>
    <m/>
    <m/>
    <n v="-60"/>
    <m/>
    <m/>
    <m/>
  </r>
  <r>
    <x v="461"/>
    <m/>
    <x v="2"/>
    <m/>
    <s v="Card charge (WWW.ARTLIST.IO)"/>
    <x v="211"/>
    <m/>
    <m/>
    <m/>
    <m/>
    <m/>
    <n v="-39.99"/>
    <m/>
    <m/>
    <m/>
  </r>
  <r>
    <x v="461"/>
    <m/>
    <x v="35"/>
    <m/>
    <s v="Card charge (FACEBK *RUYRY4MW22)"/>
    <x v="95"/>
    <m/>
    <m/>
    <m/>
    <m/>
    <m/>
    <n v="-60"/>
    <m/>
    <m/>
    <m/>
  </r>
  <r>
    <x v="462"/>
    <m/>
    <x v="2"/>
    <m/>
    <s v="Payment from Hotmart"/>
    <x v="190"/>
    <m/>
    <m/>
    <m/>
    <m/>
    <n v="-4497"/>
    <n v="4497"/>
    <m/>
    <m/>
    <m/>
  </r>
  <r>
    <x v="462"/>
    <m/>
    <x v="44"/>
    <m/>
    <s v="Card charge (FACEBK *49G4M753D2)"/>
    <x v="95"/>
    <m/>
    <m/>
    <m/>
    <m/>
    <m/>
    <n v="-900"/>
    <m/>
    <m/>
    <m/>
  </r>
  <r>
    <x v="462"/>
    <m/>
    <x v="35"/>
    <m/>
    <s v="Card charge (FACEBK *WBSK45MW22)"/>
    <x v="95"/>
    <m/>
    <m/>
    <m/>
    <m/>
    <m/>
    <n v="-60"/>
    <m/>
    <m/>
    <m/>
  </r>
  <r>
    <x v="462"/>
    <m/>
    <x v="35"/>
    <m/>
    <s v="Card charge (FACEBK *KRKP96VV22)"/>
    <x v="95"/>
    <m/>
    <m/>
    <m/>
    <m/>
    <m/>
    <n v="-60"/>
    <m/>
    <m/>
    <m/>
  </r>
  <r>
    <x v="462"/>
    <m/>
    <x v="2"/>
    <s v="VPS PUNTAJE"/>
    <s v="Card charge (HOSTINGER)"/>
    <x v="33"/>
    <m/>
    <m/>
    <m/>
    <m/>
    <m/>
    <n v="-13.85"/>
    <m/>
    <m/>
    <m/>
  </r>
  <r>
    <x v="463"/>
    <m/>
    <x v="22"/>
    <m/>
    <s v="VENTAS AL 30 NOV"/>
    <x v="60"/>
    <m/>
    <n v="2454"/>
    <m/>
    <m/>
    <m/>
    <m/>
    <m/>
    <m/>
    <m/>
  </r>
  <r>
    <x v="463"/>
    <m/>
    <x v="20"/>
    <m/>
    <s v="VENTAS DEL 4 AL 28 NOV"/>
    <x v="60"/>
    <m/>
    <m/>
    <m/>
    <m/>
    <n v="2008"/>
    <m/>
    <m/>
    <m/>
    <m/>
  </r>
  <r>
    <x v="464"/>
    <m/>
    <x v="2"/>
    <m/>
    <s v="Card charge (DLO*Hotmart)"/>
    <x v="212"/>
    <m/>
    <m/>
    <m/>
    <m/>
    <m/>
    <n v="-30.13"/>
    <m/>
    <m/>
    <m/>
  </r>
  <r>
    <x v="464"/>
    <m/>
    <x v="2"/>
    <s v="HOSTING"/>
    <s v="Card charge (HOSTINGER* HOSTINGER.C)"/>
    <x v="33"/>
    <m/>
    <m/>
    <m/>
    <m/>
    <m/>
    <n v="-21.91"/>
    <m/>
    <m/>
    <m/>
  </r>
  <r>
    <x v="464"/>
    <m/>
    <x v="2"/>
    <s v="HOSTING"/>
    <s v="Card charge (HOSTINGER* HOSTINGER.C)"/>
    <x v="33"/>
    <m/>
    <m/>
    <m/>
    <m/>
    <m/>
    <n v="-13.96"/>
    <m/>
    <m/>
    <m/>
  </r>
  <r>
    <x v="464"/>
    <m/>
    <x v="35"/>
    <m/>
    <s v="Card charge (FACEBK *9FLLF5HW22)"/>
    <x v="95"/>
    <m/>
    <m/>
    <m/>
    <m/>
    <m/>
    <n v="-60"/>
    <m/>
    <m/>
    <m/>
  </r>
  <r>
    <x v="464"/>
    <m/>
    <x v="35"/>
    <m/>
    <s v="Card charge (FACEBK *6R6UB6VW22)"/>
    <x v="95"/>
    <m/>
    <m/>
    <m/>
    <m/>
    <m/>
    <n v="-60"/>
    <m/>
    <m/>
    <m/>
  </r>
  <r>
    <x v="464"/>
    <m/>
    <x v="35"/>
    <m/>
    <s v="Card charge (FACEBK *764YY59W22)"/>
    <x v="95"/>
    <m/>
    <m/>
    <m/>
    <m/>
    <m/>
    <n v="-60"/>
    <m/>
    <m/>
    <m/>
  </r>
  <r>
    <x v="464"/>
    <m/>
    <x v="35"/>
    <m/>
    <s v="Card charge (FACEBK *6FYGB6RW22)"/>
    <x v="95"/>
    <m/>
    <m/>
    <m/>
    <m/>
    <m/>
    <n v="-60"/>
    <m/>
    <m/>
    <m/>
  </r>
  <r>
    <x v="465"/>
    <m/>
    <x v="35"/>
    <m/>
    <s v="VENTAS HASTA EL 30 NOV"/>
    <x v="60"/>
    <m/>
    <m/>
    <m/>
    <m/>
    <n v="3735.37"/>
    <m/>
    <m/>
    <m/>
    <m/>
  </r>
  <r>
    <x v="465"/>
    <m/>
    <x v="44"/>
    <m/>
    <s v="VENTAS AL 30 NOV"/>
    <x v="60"/>
    <m/>
    <m/>
    <m/>
    <m/>
    <n v="7394"/>
    <m/>
    <m/>
    <m/>
    <m/>
  </r>
  <r>
    <x v="465"/>
    <m/>
    <x v="42"/>
    <m/>
    <s v="VENTAS 27 OCT AL 30 NOV"/>
    <x v="60"/>
    <m/>
    <n v="4390"/>
    <m/>
    <m/>
    <n v="54554"/>
    <m/>
    <m/>
    <m/>
    <m/>
  </r>
  <r>
    <x v="465"/>
    <m/>
    <x v="40"/>
    <m/>
    <s v="VENTAS AL 30 NOV"/>
    <x v="60"/>
    <m/>
    <m/>
    <m/>
    <m/>
    <n v="2004"/>
    <m/>
    <m/>
    <m/>
    <m/>
  </r>
  <r>
    <x v="465"/>
    <s v="SALIDA CONTABLE"/>
    <x v="42"/>
    <m/>
    <s v="TRASLADO UTILIDADES"/>
    <x v="213"/>
    <n v="-33213"/>
    <m/>
    <m/>
    <m/>
    <m/>
    <m/>
    <m/>
    <m/>
    <m/>
  </r>
  <r>
    <x v="465"/>
    <s v="SALIDA CONTABLE"/>
    <x v="44"/>
    <m/>
    <s v="TRASLADO UTILIDADES"/>
    <x v="213"/>
    <n v="-4991"/>
    <m/>
    <m/>
    <m/>
    <m/>
    <m/>
    <m/>
    <m/>
    <m/>
  </r>
  <r>
    <x v="465"/>
    <s v="SALIDA CONTABLE"/>
    <x v="20"/>
    <m/>
    <s v="TRASLADO UTILIDADES"/>
    <x v="213"/>
    <n v="-1937"/>
    <m/>
    <m/>
    <m/>
    <m/>
    <m/>
    <m/>
    <m/>
    <m/>
  </r>
  <r>
    <x v="465"/>
    <s v="SALIDA CONTABLE"/>
    <x v="37"/>
    <m/>
    <s v="TRASLADO UTILIDADES"/>
    <x v="213"/>
    <n v="-1950"/>
    <m/>
    <m/>
    <m/>
    <m/>
    <m/>
    <m/>
    <m/>
    <m/>
  </r>
  <r>
    <x v="465"/>
    <s v="SALIDA CONTABLE"/>
    <x v="22"/>
    <m/>
    <s v="TRASLADO UTILIDADES"/>
    <x v="213"/>
    <n v="-2033"/>
    <m/>
    <m/>
    <m/>
    <m/>
    <m/>
    <m/>
    <m/>
    <m/>
  </r>
  <r>
    <x v="465"/>
    <s v="SALIDA CONTABLE"/>
    <x v="40"/>
    <m/>
    <s v="TRASLADO UTILIDADES"/>
    <x v="213"/>
    <n v="-1000"/>
    <m/>
    <m/>
    <m/>
    <m/>
    <m/>
    <m/>
    <m/>
    <m/>
  </r>
  <r>
    <x v="465"/>
    <s v="SALIDA CONTABLE"/>
    <x v="35"/>
    <m/>
    <s v="TRASLADO UTILIDADES"/>
    <x v="213"/>
    <n v="-457"/>
    <m/>
    <m/>
    <m/>
    <m/>
    <m/>
    <m/>
    <m/>
    <m/>
  </r>
  <r>
    <x v="465"/>
    <s v="INGRESO CONTABLE"/>
    <x v="2"/>
    <m/>
    <s v="TRASLADO EXCEDENTE PARA REPARTIR"/>
    <x v="213"/>
    <n v="45581"/>
    <m/>
    <m/>
    <m/>
    <m/>
    <m/>
    <m/>
    <m/>
    <m/>
  </r>
  <r>
    <x v="465"/>
    <m/>
    <x v="35"/>
    <m/>
    <s v="Card charge (FACEBK *YQRG269W22)"/>
    <x v="95"/>
    <m/>
    <m/>
    <m/>
    <m/>
    <m/>
    <n v="-60"/>
    <m/>
    <m/>
    <m/>
  </r>
  <r>
    <x v="465"/>
    <m/>
    <x v="35"/>
    <m/>
    <s v="Card charge (FACEBK *TTMDE6RW22)"/>
    <x v="95"/>
    <m/>
    <m/>
    <m/>
    <m/>
    <m/>
    <n v="-60"/>
    <m/>
    <m/>
    <m/>
  </r>
  <r>
    <x v="465"/>
    <m/>
    <x v="20"/>
    <m/>
    <s v="Card charge (FACEBK *4LKMS85QX2)"/>
    <x v="95"/>
    <m/>
    <m/>
    <m/>
    <m/>
    <m/>
    <n v="-826.28"/>
    <m/>
    <m/>
    <m/>
  </r>
  <r>
    <x v="465"/>
    <m/>
    <x v="35"/>
    <m/>
    <s v="Card charge (FACEBK *2NS76952X2)"/>
    <x v="95"/>
    <m/>
    <m/>
    <m/>
    <m/>
    <m/>
    <n v="-71.44"/>
    <m/>
    <m/>
    <m/>
  </r>
  <r>
    <x v="466"/>
    <m/>
    <x v="2"/>
    <m/>
    <s v="NOMINA DICIEMBRE"/>
    <x v="141"/>
    <m/>
    <m/>
    <m/>
    <m/>
    <m/>
    <n v="-4225"/>
    <m/>
    <m/>
    <m/>
  </r>
  <r>
    <x v="466"/>
    <s v="SALIDA CONTABLE"/>
    <x v="2"/>
    <m/>
    <s v="TRASLADO UTILIDADES"/>
    <x v="213"/>
    <n v="-33552"/>
    <m/>
    <m/>
    <m/>
    <m/>
    <m/>
    <m/>
    <m/>
    <m/>
  </r>
  <r>
    <x v="466"/>
    <s v="INGRESO CONTABLE"/>
    <x v="28"/>
    <m/>
    <s v="TRASLADO UTILIDADES"/>
    <x v="213"/>
    <n v="33552"/>
    <m/>
    <m/>
    <m/>
    <m/>
    <m/>
    <m/>
    <m/>
    <m/>
  </r>
  <r>
    <x v="466"/>
    <m/>
    <x v="28"/>
    <m/>
    <s v="REPARTICIÓN DANIEL MARTINEZ (14%)"/>
    <x v="207"/>
    <m/>
    <m/>
    <m/>
    <m/>
    <m/>
    <n v="-4697"/>
    <m/>
    <m/>
    <m/>
  </r>
  <r>
    <x v="466"/>
    <m/>
    <x v="28"/>
    <m/>
    <s v="REPARTICIÓN FRANCISCO GONZALEZ (28,66%)"/>
    <x v="207"/>
    <m/>
    <m/>
    <m/>
    <m/>
    <m/>
    <n v="-9618"/>
    <m/>
    <m/>
    <m/>
  </r>
  <r>
    <x v="466"/>
    <m/>
    <x v="28"/>
    <m/>
    <s v="REPARTICIÓN JUAN CARLOS BARROS (28,66%)"/>
    <x v="207"/>
    <m/>
    <n v="-9618"/>
    <m/>
    <m/>
    <m/>
    <m/>
    <m/>
    <m/>
    <m/>
  </r>
  <r>
    <x v="466"/>
    <m/>
    <x v="28"/>
    <m/>
    <s v="REPARTICIÓN SANTIAGO (28,66%)"/>
    <x v="207"/>
    <m/>
    <m/>
    <m/>
    <m/>
    <m/>
    <n v="-9618"/>
    <m/>
    <m/>
    <m/>
  </r>
  <r>
    <x v="466"/>
    <m/>
    <x v="45"/>
    <m/>
    <s v="Card charge (FACEBK *NNMJP7H3D2)"/>
    <x v="95"/>
    <m/>
    <m/>
    <m/>
    <m/>
    <m/>
    <n v="-141.74"/>
    <m/>
    <m/>
    <m/>
  </r>
  <r>
    <x v="466"/>
    <m/>
    <x v="45"/>
    <m/>
    <s v="Card charge (FACEBK *NTRFL8R3D2)"/>
    <x v="95"/>
    <m/>
    <m/>
    <m/>
    <m/>
    <m/>
    <n v="-70.87"/>
    <m/>
    <m/>
    <m/>
  </r>
  <r>
    <x v="466"/>
    <m/>
    <x v="35"/>
    <m/>
    <s v="Card charge (FACEBK *2ZH6N5HW22)"/>
    <x v="95"/>
    <m/>
    <m/>
    <m/>
    <m/>
    <m/>
    <n v="-60"/>
    <m/>
    <m/>
    <m/>
  </r>
  <r>
    <x v="466"/>
    <m/>
    <x v="35"/>
    <m/>
    <s v="Card charge (FACEBK *MYCAM5HW22)"/>
    <x v="95"/>
    <m/>
    <m/>
    <m/>
    <m/>
    <m/>
    <n v="-60"/>
    <m/>
    <m/>
    <m/>
  </r>
  <r>
    <x v="466"/>
    <m/>
    <x v="45"/>
    <m/>
    <s v="Card charge (FACEBK *BCCDM7H3D2)"/>
    <x v="95"/>
    <m/>
    <m/>
    <m/>
    <m/>
    <m/>
    <n v="-225.02"/>
    <m/>
    <m/>
    <m/>
  </r>
  <r>
    <x v="466"/>
    <m/>
    <x v="45"/>
    <m/>
    <s v="Card charge (FACEBK *LV9Y77Z2D2)"/>
    <x v="95"/>
    <m/>
    <m/>
    <m/>
    <m/>
    <m/>
    <n v="-112.51"/>
    <m/>
    <m/>
    <m/>
  </r>
  <r>
    <x v="466"/>
    <m/>
    <x v="2"/>
    <m/>
    <s v="Card charge (GREATAPPS)"/>
    <x v="143"/>
    <m/>
    <m/>
    <m/>
    <m/>
    <m/>
    <n v="-52.47"/>
    <m/>
    <m/>
    <m/>
  </r>
  <r>
    <x v="467"/>
    <m/>
    <x v="35"/>
    <m/>
    <s v="Card charge (FACEBK *7ABX769W22)"/>
    <x v="95"/>
    <m/>
    <m/>
    <m/>
    <m/>
    <m/>
    <n v="-60"/>
    <m/>
    <m/>
    <m/>
  </r>
  <r>
    <x v="467"/>
    <m/>
    <x v="35"/>
    <m/>
    <s v="Card charge (FACEBK *L7V4Q5HW22)"/>
    <x v="95"/>
    <m/>
    <m/>
    <m/>
    <m/>
    <m/>
    <n v="-60"/>
    <m/>
    <m/>
    <m/>
  </r>
  <r>
    <x v="467"/>
    <m/>
    <x v="45"/>
    <m/>
    <s v="Card charge (FACEBK *DDQ9B7Z2D2)"/>
    <x v="95"/>
    <m/>
    <m/>
    <m/>
    <m/>
    <m/>
    <n v="-44.52"/>
    <m/>
    <m/>
    <m/>
  </r>
  <r>
    <x v="467"/>
    <m/>
    <x v="46"/>
    <m/>
    <s v="Card charge (FACEBK *XVUKU79L92)"/>
    <x v="95"/>
    <m/>
    <m/>
    <m/>
    <m/>
    <m/>
    <n v="-636.54999999999995"/>
    <m/>
    <m/>
    <m/>
  </r>
  <r>
    <x v="467"/>
    <m/>
    <x v="35"/>
    <m/>
    <s v="Card charge (FACEBK *LFLNH6RW22)"/>
    <x v="95"/>
    <m/>
    <m/>
    <m/>
    <m/>
    <m/>
    <n v="-60"/>
    <m/>
    <m/>
    <m/>
  </r>
  <r>
    <x v="468"/>
    <m/>
    <x v="35"/>
    <m/>
    <s v="Card charge (FACEBK *5YBSP6VW22)"/>
    <x v="95"/>
    <m/>
    <m/>
    <m/>
    <m/>
    <m/>
    <n v="-60"/>
    <m/>
    <m/>
    <m/>
  </r>
  <r>
    <x v="468"/>
    <m/>
    <x v="35"/>
    <m/>
    <s v="Card charge (FACEBK *UCUPG6DW22)"/>
    <x v="95"/>
    <m/>
    <m/>
    <m/>
    <m/>
    <m/>
    <n v="-60"/>
    <m/>
    <m/>
    <m/>
  </r>
  <r>
    <x v="468"/>
    <m/>
    <x v="35"/>
    <m/>
    <s v="Card charge (FACEBK *HTUF68ZZW2)"/>
    <x v="95"/>
    <m/>
    <m/>
    <m/>
    <m/>
    <m/>
    <n v="-7.63"/>
    <m/>
    <m/>
    <m/>
  </r>
  <r>
    <x v="468"/>
    <m/>
    <x v="2"/>
    <m/>
    <s v="Card charge (CURSOR, AI POWERED IDE)"/>
    <x v="161"/>
    <m/>
    <m/>
    <m/>
    <m/>
    <m/>
    <n v="-20"/>
    <m/>
    <m/>
    <m/>
  </r>
  <r>
    <x v="468"/>
    <m/>
    <x v="2"/>
    <m/>
    <s v="Card charge (HOSTINGER)"/>
    <x v="33"/>
    <m/>
    <m/>
    <m/>
    <m/>
    <m/>
    <n v="-9.6"/>
    <m/>
    <m/>
    <m/>
  </r>
  <r>
    <x v="469"/>
    <m/>
    <x v="35"/>
    <m/>
    <s v="Card charge (FACEBK *3X8NC69W22)"/>
    <x v="95"/>
    <m/>
    <m/>
    <m/>
    <m/>
    <m/>
    <n v="-60"/>
    <m/>
    <m/>
    <m/>
  </r>
  <r>
    <x v="469"/>
    <m/>
    <x v="35"/>
    <m/>
    <s v="Card charge (FACEBK *PQL7K5MW22)"/>
    <x v="95"/>
    <m/>
    <m/>
    <m/>
    <m/>
    <m/>
    <n v="-60"/>
    <m/>
    <m/>
    <m/>
  </r>
  <r>
    <x v="469"/>
    <m/>
    <x v="2"/>
    <m/>
    <s v="Card charge (DLO*GOOGLE Google One)"/>
    <x v="183"/>
    <m/>
    <m/>
    <m/>
    <m/>
    <m/>
    <n v="-30.59"/>
    <m/>
    <m/>
    <m/>
  </r>
  <r>
    <x v="470"/>
    <m/>
    <x v="35"/>
    <m/>
    <s v="Card charge (FACEBK *NCGG765W22)"/>
    <x v="95"/>
    <m/>
    <m/>
    <m/>
    <m/>
    <m/>
    <n v="-60"/>
    <m/>
    <m/>
    <m/>
  </r>
  <r>
    <x v="470"/>
    <m/>
    <x v="35"/>
    <m/>
    <s v="Card charge (FACEBK *7PYP465W22)"/>
    <x v="95"/>
    <m/>
    <m/>
    <m/>
    <m/>
    <m/>
    <n v="-60"/>
    <m/>
    <m/>
    <m/>
  </r>
  <r>
    <x v="470"/>
    <m/>
    <x v="35"/>
    <m/>
    <s v="Card charge (FACEBK *KGRTX5HW22)"/>
    <x v="95"/>
    <m/>
    <m/>
    <m/>
    <m/>
    <m/>
    <n v="-60"/>
    <m/>
    <m/>
    <m/>
  </r>
  <r>
    <x v="470"/>
    <m/>
    <x v="2"/>
    <m/>
    <s v="Shipping Fee"/>
    <x v="214"/>
    <m/>
    <m/>
    <m/>
    <m/>
    <m/>
    <n v="-40"/>
    <m/>
    <m/>
    <m/>
  </r>
  <r>
    <x v="470"/>
    <m/>
    <x v="2"/>
    <m/>
    <s v="Card charge (LATAM AIRLINES COLOMBI)"/>
    <x v="215"/>
    <m/>
    <m/>
    <m/>
    <m/>
    <m/>
    <n v="-567.08000000000004"/>
    <m/>
    <m/>
    <m/>
  </r>
  <r>
    <x v="470"/>
    <m/>
    <x v="2"/>
    <m/>
    <s v="Card charge (HOSTINGER* HOSTINGER.C)"/>
    <x v="33"/>
    <m/>
    <m/>
    <m/>
    <m/>
    <m/>
    <n v="-15.12"/>
    <m/>
    <m/>
    <m/>
  </r>
  <r>
    <x v="471"/>
    <m/>
    <x v="35"/>
    <m/>
    <s v="Card charge (FACEBK *GXXPX6RW22)"/>
    <x v="95"/>
    <m/>
    <m/>
    <m/>
    <m/>
    <m/>
    <n v="-60"/>
    <m/>
    <m/>
    <m/>
  </r>
  <r>
    <x v="471"/>
    <m/>
    <x v="35"/>
    <m/>
    <s v="Card charge (FACEBK *ARHZS6DW22)"/>
    <x v="95"/>
    <m/>
    <m/>
    <m/>
    <m/>
    <m/>
    <n v="-60.06"/>
    <m/>
    <m/>
    <m/>
  </r>
  <r>
    <x v="471"/>
    <m/>
    <x v="2"/>
    <m/>
    <s v="Card charge (LA BIFERIA SA)"/>
    <x v="216"/>
    <m/>
    <m/>
    <m/>
    <m/>
    <m/>
    <n v="-182.82"/>
    <m/>
    <m/>
    <m/>
  </r>
  <r>
    <x v="471"/>
    <m/>
    <x v="2"/>
    <m/>
    <s v="Card charge (EL CHUZALES)"/>
    <x v="217"/>
    <m/>
    <m/>
    <m/>
    <m/>
    <m/>
    <n v="-55.28"/>
    <m/>
    <m/>
    <m/>
  </r>
  <r>
    <x v="472"/>
    <m/>
    <x v="35"/>
    <m/>
    <s v="Card charge (FACEBK *9VJX37VW22)"/>
    <x v="95"/>
    <m/>
    <m/>
    <m/>
    <m/>
    <m/>
    <n v="-60"/>
    <m/>
    <m/>
    <m/>
  </r>
  <r>
    <x v="472"/>
    <m/>
    <x v="2"/>
    <m/>
    <s v="Card charge (HOTMART)"/>
    <x v="187"/>
    <m/>
    <m/>
    <m/>
    <m/>
    <m/>
    <n v="-99"/>
    <m/>
    <m/>
    <m/>
  </r>
  <r>
    <x v="472"/>
    <m/>
    <x v="2"/>
    <m/>
    <s v="Card charge (SGT*abestpdfcom)"/>
    <x v="218"/>
    <m/>
    <m/>
    <m/>
    <m/>
    <m/>
    <n v="-1.95"/>
    <m/>
    <m/>
    <m/>
  </r>
  <r>
    <x v="473"/>
    <m/>
    <x v="35"/>
    <m/>
    <s v="Card charge (FACEBK *FKGY47RW22)"/>
    <x v="95"/>
    <m/>
    <m/>
    <m/>
    <m/>
    <m/>
    <n v="-60"/>
    <m/>
    <m/>
    <m/>
  </r>
  <r>
    <x v="473"/>
    <m/>
    <x v="35"/>
    <m/>
    <s v="Card charge (FACEBK *8U2J46ZV22)"/>
    <x v="95"/>
    <m/>
    <m/>
    <m/>
    <m/>
    <m/>
    <n v="-60"/>
    <m/>
    <m/>
    <m/>
  </r>
  <r>
    <x v="473"/>
    <m/>
    <x v="2"/>
    <m/>
    <s v="Card charge (FLODESK.COM)"/>
    <x v="90"/>
    <m/>
    <m/>
    <m/>
    <m/>
    <m/>
    <n v="-38.380000000000003"/>
    <m/>
    <m/>
    <m/>
  </r>
  <r>
    <x v="474"/>
    <m/>
    <x v="35"/>
    <m/>
    <s v="Card charge (FACEBK *5QECJ65W22)"/>
    <x v="95"/>
    <m/>
    <m/>
    <m/>
    <m/>
    <m/>
    <n v="-60"/>
    <m/>
    <m/>
    <m/>
  </r>
  <r>
    <x v="474"/>
    <m/>
    <x v="35"/>
    <m/>
    <s v="Card charge (FACEBK *94HZZ6DW22)"/>
    <x v="95"/>
    <m/>
    <m/>
    <m/>
    <m/>
    <m/>
    <n v="-17.559999999999999"/>
    <m/>
    <m/>
    <m/>
  </r>
  <r>
    <x v="474"/>
    <m/>
    <x v="47"/>
    <m/>
    <s v="Payment to Bancolombia (6138)"/>
    <x v="219"/>
    <m/>
    <m/>
    <m/>
    <m/>
    <m/>
    <n v="-1155.28"/>
    <m/>
    <m/>
    <m/>
  </r>
  <r>
    <x v="474"/>
    <m/>
    <x v="42"/>
    <m/>
    <s v="Payment to Gersson Lopez"/>
    <x v="220"/>
    <m/>
    <m/>
    <m/>
    <m/>
    <m/>
    <n v="-788"/>
    <m/>
    <m/>
    <m/>
  </r>
  <r>
    <x v="474"/>
    <m/>
    <x v="47"/>
    <m/>
    <s v="Payment from Gersson Lopez"/>
    <x v="219"/>
    <m/>
    <m/>
    <m/>
    <m/>
    <m/>
    <n v="1124.49"/>
    <m/>
    <m/>
    <m/>
  </r>
  <r>
    <x v="474"/>
    <m/>
    <x v="2"/>
    <m/>
    <s v="Card charge (HOSTINGER)"/>
    <x v="33"/>
    <m/>
    <m/>
    <m/>
    <m/>
    <m/>
    <n v="-0.43"/>
    <m/>
    <m/>
    <m/>
  </r>
  <r>
    <x v="475"/>
    <m/>
    <x v="35"/>
    <m/>
    <s v="Card charge (FACEBK *9ELPV69W22)"/>
    <x v="95"/>
    <m/>
    <m/>
    <m/>
    <m/>
    <m/>
    <n v="-60"/>
    <m/>
    <m/>
    <m/>
  </r>
  <r>
    <x v="475"/>
    <m/>
    <x v="2"/>
    <m/>
    <s v="Payment from Hotmart"/>
    <x v="190"/>
    <m/>
    <m/>
    <m/>
    <m/>
    <n v="-4221"/>
    <n v="4221"/>
    <m/>
    <m/>
    <m/>
  </r>
  <r>
    <x v="475"/>
    <m/>
    <x v="2"/>
    <m/>
    <s v="Card charge (DLO*hostinger.co)"/>
    <x v="33"/>
    <m/>
    <m/>
    <m/>
    <m/>
    <m/>
    <n v="-65.099999999999994"/>
    <m/>
    <m/>
    <m/>
  </r>
  <r>
    <x v="476"/>
    <m/>
    <x v="35"/>
    <m/>
    <s v="Card charge (FACEBK *CR7Y66MW22)"/>
    <x v="95"/>
    <m/>
    <m/>
    <m/>
    <m/>
    <m/>
    <n v="-60"/>
    <m/>
    <m/>
    <m/>
  </r>
  <r>
    <x v="477"/>
    <m/>
    <x v="35"/>
    <m/>
    <s v="Card charge (FACEBK *64CF379W22)"/>
    <x v="95"/>
    <m/>
    <m/>
    <m/>
    <m/>
    <m/>
    <n v="-60"/>
    <m/>
    <m/>
    <m/>
  </r>
  <r>
    <x v="477"/>
    <m/>
    <x v="35"/>
    <m/>
    <s v="Card charge (FACEBK *G53NF7VV22)"/>
    <x v="95"/>
    <m/>
    <m/>
    <m/>
    <m/>
    <m/>
    <n v="-60"/>
    <m/>
    <m/>
    <m/>
  </r>
  <r>
    <x v="477"/>
    <m/>
    <x v="2"/>
    <m/>
    <s v="Card charge (CAPCUT)"/>
    <x v="196"/>
    <m/>
    <m/>
    <m/>
    <m/>
    <m/>
    <n v="-16.27"/>
    <m/>
    <m/>
    <m/>
  </r>
  <r>
    <x v="478"/>
    <m/>
    <x v="35"/>
    <m/>
    <s v="Card charge (FACEBK *2MZCN6HW22)"/>
    <x v="95"/>
    <m/>
    <m/>
    <m/>
    <m/>
    <m/>
    <n v="-60"/>
    <m/>
    <m/>
    <m/>
  </r>
  <r>
    <x v="479"/>
    <m/>
    <x v="35"/>
    <m/>
    <s v="Card charge (FACEBK *89TBM7VW22)"/>
    <x v="95"/>
    <m/>
    <m/>
    <m/>
    <m/>
    <m/>
    <n v="-60"/>
    <m/>
    <m/>
    <m/>
  </r>
  <r>
    <x v="479"/>
    <m/>
    <x v="35"/>
    <m/>
    <s v="Card charge (FACEBK *Y7TRQ6HW22)"/>
    <x v="95"/>
    <m/>
    <m/>
    <m/>
    <m/>
    <m/>
    <n v="-11.95"/>
    <m/>
    <m/>
    <m/>
  </r>
  <r>
    <x v="479"/>
    <m/>
    <x v="12"/>
    <m/>
    <s v="Payment from Hotmart"/>
    <x v="190"/>
    <m/>
    <m/>
    <m/>
    <m/>
    <n v="-4886"/>
    <n v="4886"/>
    <m/>
    <m/>
    <m/>
  </r>
  <r>
    <x v="480"/>
    <m/>
    <x v="35"/>
    <m/>
    <s v="Card charge (FACEBK *EGA4M7RW22)"/>
    <x v="95"/>
    <m/>
    <m/>
    <m/>
    <m/>
    <m/>
    <n v="-2.13"/>
    <m/>
    <m/>
    <m/>
  </r>
  <r>
    <x v="481"/>
    <m/>
    <x v="35"/>
    <m/>
    <s v="Card charge (FACEBK *ENKJFAD4L2)"/>
    <x v="95"/>
    <m/>
    <m/>
    <m/>
    <m/>
    <m/>
    <n v="-35.909999999999997"/>
    <m/>
    <m/>
    <m/>
  </r>
  <r>
    <x v="481"/>
    <m/>
    <x v="2"/>
    <m/>
    <s v="Payment to Bancolombia (5406)"/>
    <x v="221"/>
    <m/>
    <m/>
    <m/>
    <m/>
    <m/>
    <n v="-263.63"/>
    <m/>
    <m/>
    <m/>
  </r>
  <r>
    <x v="482"/>
    <m/>
    <x v="12"/>
    <m/>
    <s v="Payment from Hotmart"/>
    <x v="190"/>
    <m/>
    <m/>
    <m/>
    <m/>
    <n v="-11480.3"/>
    <n v="11480.3"/>
    <m/>
    <m/>
    <m/>
  </r>
  <r>
    <x v="483"/>
    <m/>
    <x v="35"/>
    <m/>
    <s v="Card charge (FACEBK *9ZE3ACM4L2)"/>
    <x v="95"/>
    <m/>
    <m/>
    <m/>
    <m/>
    <m/>
    <n v="-100"/>
    <m/>
    <m/>
    <m/>
  </r>
  <r>
    <x v="483"/>
    <m/>
    <x v="2"/>
    <m/>
    <s v="Card charge (STREAMYARD.COM)"/>
    <x v="168"/>
    <m/>
    <m/>
    <m/>
    <m/>
    <m/>
    <n v="-53.92"/>
    <m/>
    <m/>
    <m/>
  </r>
  <r>
    <x v="484"/>
    <m/>
    <x v="35"/>
    <m/>
    <s v="Card charge (FACEBK *FX9HU9Z3L2)"/>
    <x v="95"/>
    <m/>
    <m/>
    <m/>
    <m/>
    <m/>
    <n v="-100"/>
    <m/>
    <m/>
    <m/>
  </r>
  <r>
    <x v="484"/>
    <m/>
    <x v="2"/>
    <m/>
    <s v="Card charge (DLO*hostinger.co)"/>
    <x v="33"/>
    <m/>
    <m/>
    <m/>
    <m/>
    <m/>
    <n v="-15.46"/>
    <m/>
    <m/>
    <m/>
  </r>
  <r>
    <x v="484"/>
    <m/>
    <x v="2"/>
    <m/>
    <s v="Card charge (DLO*hostinger.co)"/>
    <x v="33"/>
    <m/>
    <m/>
    <m/>
    <m/>
    <m/>
    <n v="-13.62"/>
    <m/>
    <m/>
    <m/>
  </r>
  <r>
    <x v="484"/>
    <m/>
    <x v="2"/>
    <m/>
    <s v="Card charge (DLO*hostinger.co)"/>
    <x v="33"/>
    <m/>
    <m/>
    <m/>
    <m/>
    <m/>
    <n v="-10.08"/>
    <m/>
    <m/>
    <m/>
  </r>
  <r>
    <x v="485"/>
    <m/>
    <x v="48"/>
    <m/>
    <s v="Card charge (FACEBK *73DEB9H3D2)"/>
    <x v="95"/>
    <m/>
    <m/>
    <m/>
    <m/>
    <m/>
    <n v="-311.70999999999998"/>
    <m/>
    <m/>
    <m/>
  </r>
  <r>
    <x v="485"/>
    <m/>
    <x v="2"/>
    <m/>
    <s v="Payment to Bancolombia (5406)"/>
    <x v="141"/>
    <m/>
    <m/>
    <m/>
    <m/>
    <m/>
    <n v="-3870.13"/>
    <m/>
    <m/>
    <m/>
  </r>
  <r>
    <x v="486"/>
    <m/>
    <x v="35"/>
    <m/>
    <s v="Card charge (FACEBK *CCJMKB94L2)"/>
    <x v="95"/>
    <m/>
    <m/>
    <m/>
    <m/>
    <m/>
    <n v="-100"/>
    <m/>
    <m/>
    <m/>
  </r>
  <r>
    <x v="486"/>
    <m/>
    <x v="2"/>
    <m/>
    <s v="Payment to BANCOLOMBIA (1854)"/>
    <x v="222"/>
    <m/>
    <m/>
    <m/>
    <m/>
    <m/>
    <n v="-510.2"/>
    <m/>
    <m/>
    <m/>
  </r>
  <r>
    <x v="487"/>
    <m/>
    <x v="2"/>
    <m/>
    <s v="Payment to Bancolombia (5406)"/>
    <x v="141"/>
    <m/>
    <m/>
    <m/>
    <m/>
    <m/>
    <n v="-660.83"/>
    <m/>
    <m/>
    <m/>
  </r>
  <r>
    <x v="488"/>
    <m/>
    <x v="35"/>
    <m/>
    <s v="Card charge (FACEBK *JHMS5BR4L2)"/>
    <x v="95"/>
    <m/>
    <m/>
    <m/>
    <m/>
    <m/>
    <n v="-100"/>
    <m/>
    <m/>
    <m/>
  </r>
  <r>
    <x v="489"/>
    <m/>
    <x v="48"/>
    <m/>
    <s v="Card charge (FACEBK *U734N9D3D2)"/>
    <x v="95"/>
    <m/>
    <m/>
    <m/>
    <m/>
    <m/>
    <n v="-900"/>
    <m/>
    <m/>
    <m/>
  </r>
  <r>
    <x v="489"/>
    <m/>
    <x v="35"/>
    <m/>
    <s v="Card charge (FACEBK *J4ESUAV4L2)"/>
    <x v="95"/>
    <m/>
    <m/>
    <m/>
    <m/>
    <m/>
    <n v="-100"/>
    <m/>
    <m/>
    <m/>
  </r>
  <r>
    <x v="490"/>
    <m/>
    <x v="35"/>
    <m/>
    <s v="Card charge (FACEBK *ADA42BV4L2)"/>
    <x v="95"/>
    <m/>
    <m/>
    <m/>
    <m/>
    <m/>
    <n v="-100"/>
    <m/>
    <m/>
    <m/>
  </r>
  <r>
    <x v="490"/>
    <m/>
    <x v="2"/>
    <m/>
    <s v="Card charge (DLO*hostinger.co)"/>
    <x v="33"/>
    <m/>
    <m/>
    <m/>
    <m/>
    <m/>
    <n v="-22.31"/>
    <m/>
    <m/>
    <m/>
  </r>
  <r>
    <x v="491"/>
    <m/>
    <x v="48"/>
    <m/>
    <s v="Card charge (FACEBK *68ER6AM3D2)"/>
    <x v="95"/>
    <m/>
    <m/>
    <m/>
    <m/>
    <m/>
    <n v="-900"/>
    <m/>
    <m/>
    <m/>
  </r>
  <r>
    <x v="491"/>
    <m/>
    <x v="35"/>
    <m/>
    <s v="VENTAS HASTA EL 31 DIC"/>
    <x v="60"/>
    <m/>
    <m/>
    <m/>
    <m/>
    <n v="2566"/>
    <m/>
    <m/>
    <m/>
    <m/>
  </r>
  <r>
    <x v="491"/>
    <m/>
    <x v="45"/>
    <m/>
    <s v="VENTAS HASTA EL 31 DIC"/>
    <x v="60"/>
    <m/>
    <m/>
    <m/>
    <m/>
    <n v="3419"/>
    <m/>
    <m/>
    <m/>
    <m/>
  </r>
  <r>
    <x v="491"/>
    <m/>
    <x v="46"/>
    <m/>
    <s v="VENTAS HASTA EL 31 DIC"/>
    <x v="60"/>
    <m/>
    <m/>
    <m/>
    <m/>
    <n v="1044"/>
    <m/>
    <m/>
    <m/>
    <m/>
  </r>
  <r>
    <x v="492"/>
    <m/>
    <x v="2"/>
    <m/>
    <s v="Maintenance fee, January 2026 to December 2026"/>
    <x v="223"/>
    <m/>
    <m/>
    <m/>
    <m/>
    <m/>
    <n v="-29.95"/>
    <m/>
    <m/>
    <m/>
  </r>
  <r>
    <x v="493"/>
    <m/>
    <x v="48"/>
    <m/>
    <s v="Card charge (FACEBK *56N7VBV3D2)"/>
    <x v="95"/>
    <m/>
    <m/>
    <m/>
    <m/>
    <m/>
    <n v="-900"/>
    <m/>
    <m/>
    <m/>
  </r>
  <r>
    <x v="493"/>
    <m/>
    <x v="35"/>
    <m/>
    <s v="Card charge (FACEBK *926Q5BV3L2)"/>
    <x v="95"/>
    <m/>
    <m/>
    <m/>
    <m/>
    <m/>
    <n v="-25.85"/>
    <m/>
    <m/>
    <m/>
  </r>
  <r>
    <x v="493"/>
    <m/>
    <x v="35"/>
    <m/>
    <s v="Card charge (FACEBK *SAZX9DM4L2)"/>
    <x v="95"/>
    <m/>
    <m/>
    <m/>
    <m/>
    <m/>
    <n v="-100"/>
    <m/>
    <m/>
    <m/>
  </r>
  <r>
    <x v="493"/>
    <m/>
    <x v="2"/>
    <m/>
    <s v="Card charge (STAPE, INC.)"/>
    <x v="75"/>
    <m/>
    <m/>
    <m/>
    <m/>
    <m/>
    <n v="-20.2"/>
    <m/>
    <m/>
    <m/>
  </r>
  <r>
    <x v="494"/>
    <m/>
    <x v="48"/>
    <m/>
    <s v="Card charge (FACEBK *FKDWVAV2D2)"/>
    <x v="95"/>
    <m/>
    <m/>
    <m/>
    <m/>
    <m/>
    <n v="-900"/>
    <m/>
    <m/>
    <m/>
  </r>
  <r>
    <x v="495"/>
    <m/>
    <x v="35"/>
    <m/>
    <s v="Card charge (FACEBK *XH9NDB54L2)"/>
    <x v="95"/>
    <m/>
    <m/>
    <m/>
    <m/>
    <m/>
    <n v="-100"/>
    <m/>
    <m/>
    <m/>
  </r>
  <r>
    <x v="495"/>
    <m/>
    <x v="48"/>
    <m/>
    <s v="Card charge (FACEBK *W4RBJA53D2)"/>
    <x v="95"/>
    <m/>
    <m/>
    <m/>
    <m/>
    <m/>
    <n v="-1454"/>
    <m/>
    <m/>
    <m/>
  </r>
  <r>
    <x v="495"/>
    <m/>
    <x v="2"/>
    <m/>
    <s v="Card charge (GREATAPPS)"/>
    <x v="143"/>
    <m/>
    <m/>
    <m/>
    <m/>
    <m/>
    <n v="-51.54"/>
    <m/>
    <m/>
    <m/>
  </r>
  <r>
    <x v="496"/>
    <m/>
    <x v="49"/>
    <m/>
    <s v="Card charge (FACEBK *UQACQBD9H2)"/>
    <x v="95"/>
    <m/>
    <m/>
    <m/>
    <m/>
    <m/>
    <n v="-19.95"/>
    <m/>
    <m/>
    <m/>
  </r>
  <r>
    <x v="496"/>
    <m/>
    <x v="48"/>
    <m/>
    <s v="Card charge (FACEBK *MU352BV2D2)"/>
    <x v="95"/>
    <m/>
    <m/>
    <m/>
    <m/>
    <m/>
    <n v="-965"/>
    <m/>
    <m/>
    <m/>
  </r>
  <r>
    <x v="496"/>
    <m/>
    <x v="48"/>
    <m/>
    <s v="Card charge (FACEBK *NBCGCAH3D2)"/>
    <x v="95"/>
    <m/>
    <m/>
    <m/>
    <m/>
    <m/>
    <n v="-1454"/>
    <m/>
    <m/>
    <m/>
  </r>
  <r>
    <x v="496"/>
    <m/>
    <x v="2"/>
    <m/>
    <s v="Card charge (HOTMART)"/>
    <x v="187"/>
    <m/>
    <m/>
    <m/>
    <m/>
    <m/>
    <n v="-100.78"/>
    <m/>
    <m/>
    <m/>
  </r>
  <r>
    <x v="496"/>
    <m/>
    <x v="2"/>
    <m/>
    <s v="Card charge (GOOGLE *Google One)"/>
    <x v="183"/>
    <m/>
    <m/>
    <m/>
    <m/>
    <m/>
    <n v="-30.55"/>
    <m/>
    <m/>
    <m/>
  </r>
  <r>
    <x v="496"/>
    <m/>
    <x v="2"/>
    <m/>
    <s v="Card charge (DLO*hostinger.co)"/>
    <x v="33"/>
    <m/>
    <m/>
    <m/>
    <m/>
    <m/>
    <n v="-14.99"/>
    <m/>
    <m/>
    <m/>
  </r>
  <r>
    <x v="497"/>
    <m/>
    <x v="48"/>
    <m/>
    <s v="Card charge (FACEBK *XP3TQAM3D2)"/>
    <x v="95"/>
    <m/>
    <m/>
    <m/>
    <m/>
    <m/>
    <n v="-1129"/>
    <m/>
    <m/>
    <m/>
  </r>
  <r>
    <x v="497"/>
    <m/>
    <x v="48"/>
    <m/>
    <s v="Card charge (FACEBK *NL8HBBR3D2)"/>
    <x v="95"/>
    <m/>
    <m/>
    <m/>
    <m/>
    <m/>
    <n v="-965"/>
    <m/>
    <m/>
    <m/>
  </r>
  <r>
    <x v="497"/>
    <m/>
    <x v="49"/>
    <m/>
    <s v="Payment to JUAN CARLOS BARROS ALFARO"/>
    <x v="95"/>
    <m/>
    <m/>
    <m/>
    <m/>
    <m/>
    <n v="-10004"/>
    <m/>
    <m/>
    <m/>
  </r>
  <r>
    <x v="498"/>
    <m/>
    <x v="48"/>
    <m/>
    <s v="Card charge (FACEBK *RARAGBR3D2)"/>
    <x v="95"/>
    <m/>
    <m/>
    <m/>
    <m/>
    <m/>
    <n v="-1056"/>
    <m/>
    <m/>
    <m/>
  </r>
  <r>
    <x v="498"/>
    <m/>
    <x v="48"/>
    <m/>
    <s v="Card charge (FACEBK *4Q6SJAH3D2)"/>
    <x v="95"/>
    <m/>
    <m/>
    <m/>
    <m/>
    <m/>
    <n v="-1129"/>
    <m/>
    <m/>
    <m/>
  </r>
  <r>
    <x v="498"/>
    <m/>
    <x v="35"/>
    <m/>
    <s v="Card charge (FACEBK *QNF7NB54L2)"/>
    <x v="95"/>
    <m/>
    <m/>
    <m/>
    <m/>
    <m/>
    <n v="-100"/>
    <m/>
    <m/>
    <m/>
  </r>
  <r>
    <x v="498"/>
    <m/>
    <x v="35"/>
    <m/>
    <s v="Card charge (FACEBK *YDY2QC94L2)"/>
    <x v="95"/>
    <m/>
    <m/>
    <m/>
    <m/>
    <m/>
    <n v="-99.97"/>
    <m/>
    <m/>
    <m/>
  </r>
  <r>
    <x v="498"/>
    <m/>
    <x v="48"/>
    <m/>
    <s v="Card charge (FACEBK *QX6JQA53D2)"/>
    <x v="95"/>
    <m/>
    <m/>
    <m/>
    <m/>
    <m/>
    <n v="-1129"/>
    <m/>
    <m/>
    <m/>
  </r>
  <r>
    <x v="499"/>
    <m/>
    <x v="2"/>
    <m/>
    <s v="Card charge (HOSTINGER)"/>
    <x v="33"/>
    <m/>
    <m/>
    <m/>
    <m/>
    <m/>
    <n v="-16.059999999999999"/>
    <m/>
    <m/>
    <m/>
  </r>
  <r>
    <x v="499"/>
    <m/>
    <x v="2"/>
    <m/>
    <s v="Card charge (DLO*hostinger.co)"/>
    <x v="33"/>
    <m/>
    <m/>
    <m/>
    <m/>
    <m/>
    <n v="-66.5"/>
    <m/>
    <m/>
    <m/>
  </r>
  <r>
    <x v="500"/>
    <m/>
    <x v="35"/>
    <m/>
    <s v="Card charge (FACEBK *PW89TB54L2)"/>
    <x v="95"/>
    <m/>
    <m/>
    <m/>
    <m/>
    <m/>
    <n v="-100"/>
    <m/>
    <m/>
    <m/>
  </r>
  <r>
    <x v="500"/>
    <m/>
    <x v="48"/>
    <m/>
    <s v="Card charge (FACEBK *45N4ECV3D2)"/>
    <x v="95"/>
    <m/>
    <m/>
    <m/>
    <m/>
    <m/>
    <n v="-1434"/>
    <m/>
    <m/>
    <m/>
  </r>
  <r>
    <x v="500"/>
    <m/>
    <x v="35"/>
    <m/>
    <s v="Card charge (FACEBK *7KWWBBZ3L2)"/>
    <x v="95"/>
    <m/>
    <m/>
    <m/>
    <m/>
    <m/>
    <n v="-100"/>
    <m/>
    <m/>
    <m/>
  </r>
  <r>
    <x v="500"/>
    <m/>
    <x v="35"/>
    <m/>
    <s v="Card charge (FACEBK *Z9MGSB54L2)"/>
    <x v="95"/>
    <m/>
    <m/>
    <m/>
    <m/>
    <m/>
    <n v="-100"/>
    <m/>
    <m/>
    <m/>
  </r>
  <r>
    <x v="500"/>
    <m/>
    <x v="35"/>
    <m/>
    <s v="Card charge (FACEBK *LX7EWBV4L2)"/>
    <x v="95"/>
    <m/>
    <m/>
    <m/>
    <m/>
    <m/>
    <n v="-100"/>
    <m/>
    <m/>
    <m/>
  </r>
  <r>
    <x v="500"/>
    <m/>
    <x v="48"/>
    <m/>
    <s v="Card charge (FACEBK *8483XAM3D2)"/>
    <x v="95"/>
    <m/>
    <m/>
    <m/>
    <m/>
    <m/>
    <n v="-1434"/>
    <m/>
    <m/>
    <m/>
  </r>
  <r>
    <x v="500"/>
    <m/>
    <x v="48"/>
    <m/>
    <s v="Card charge (FACEBK *UJFMLAD3D2)"/>
    <x v="95"/>
    <m/>
    <m/>
    <m/>
    <m/>
    <m/>
    <n v="-1434"/>
    <m/>
    <m/>
    <m/>
  </r>
  <r>
    <x v="500"/>
    <m/>
    <x v="35"/>
    <m/>
    <s v="Card charge (FACEBK *8WTUSC94L2)"/>
    <x v="95"/>
    <m/>
    <m/>
    <m/>
    <m/>
    <m/>
    <n v="-100"/>
    <m/>
    <m/>
    <m/>
  </r>
  <r>
    <x v="500"/>
    <m/>
    <x v="35"/>
    <m/>
    <s v="Card charge (FACEBK *THNF6CD4L2)"/>
    <x v="95"/>
    <m/>
    <m/>
    <m/>
    <m/>
    <m/>
    <n v="-100"/>
    <m/>
    <m/>
    <m/>
  </r>
  <r>
    <x v="500"/>
    <m/>
    <x v="35"/>
    <m/>
    <s v="Card charge (FACEBK *CMJ6UDM4L2)"/>
    <x v="95"/>
    <m/>
    <m/>
    <m/>
    <m/>
    <m/>
    <n v="-100"/>
    <m/>
    <m/>
    <m/>
  </r>
  <r>
    <x v="500"/>
    <m/>
    <x v="2"/>
    <m/>
    <s v="Card charge (STAPE  INC.)"/>
    <x v="75"/>
    <m/>
    <m/>
    <m/>
    <m/>
    <m/>
    <n v="-23.33"/>
    <m/>
    <m/>
    <m/>
  </r>
  <r>
    <x v="500"/>
    <m/>
    <x v="48"/>
    <m/>
    <s v="Card charge (MANYCHAT.COM)"/>
    <x v="81"/>
    <m/>
    <m/>
    <m/>
    <m/>
    <m/>
    <n v="-1010"/>
    <m/>
    <m/>
    <m/>
  </r>
  <r>
    <x v="500"/>
    <m/>
    <x v="2"/>
    <m/>
    <s v="Card charge (FLODESK.COM)"/>
    <x v="90"/>
    <m/>
    <m/>
    <m/>
    <m/>
    <m/>
    <n v="-38.380000000000003"/>
    <m/>
    <m/>
    <m/>
  </r>
  <r>
    <x v="501"/>
    <m/>
    <x v="48"/>
    <m/>
    <s v="Card charge (FACEBK *FP8GSAH3D2)"/>
    <x v="95"/>
    <m/>
    <m/>
    <m/>
    <m/>
    <m/>
    <n v="-1434"/>
    <m/>
    <m/>
    <m/>
  </r>
  <r>
    <x v="501"/>
    <m/>
    <x v="35"/>
    <m/>
    <s v="Card charge (FACEBK *AF5SACD4L2)"/>
    <x v="95"/>
    <m/>
    <m/>
    <m/>
    <m/>
    <m/>
    <n v="-100"/>
    <m/>
    <m/>
    <m/>
  </r>
  <r>
    <x v="501"/>
    <m/>
    <x v="35"/>
    <m/>
    <s v="Card charge (FACEBK *2AAHUB54L2)"/>
    <x v="95"/>
    <m/>
    <m/>
    <m/>
    <m/>
    <m/>
    <n v="-100"/>
    <m/>
    <m/>
    <m/>
  </r>
  <r>
    <x v="501"/>
    <m/>
    <x v="48"/>
    <m/>
    <s v="Card charge (FACEBK *9SYHMBR3D2)"/>
    <x v="95"/>
    <m/>
    <m/>
    <m/>
    <m/>
    <m/>
    <n v="-1434"/>
    <m/>
    <m/>
    <m/>
  </r>
  <r>
    <x v="501"/>
    <m/>
    <x v="49"/>
    <m/>
    <s v="Card charge (NIFTYIMAGES)"/>
    <x v="224"/>
    <m/>
    <m/>
    <m/>
    <m/>
    <m/>
    <n v="-25.25"/>
    <m/>
    <m/>
    <m/>
  </r>
  <r>
    <x v="501"/>
    <m/>
    <x v="2"/>
    <m/>
    <s v="Card charge (CapCut)"/>
    <x v="196"/>
    <m/>
    <m/>
    <m/>
    <m/>
    <m/>
    <n v="-16.600000000000001"/>
    <m/>
    <m/>
    <m/>
  </r>
  <r>
    <x v="502"/>
    <m/>
    <x v="48"/>
    <m/>
    <s v="Card charge (FACEBK *6TBFUAD3D2)"/>
    <x v="95"/>
    <m/>
    <m/>
    <m/>
    <m/>
    <m/>
    <n v="-1710"/>
    <m/>
    <m/>
    <m/>
  </r>
  <r>
    <x v="502"/>
    <m/>
    <x v="35"/>
    <m/>
    <s v="Card charge (FACEBK *L5UFGBZ3L2)"/>
    <x v="95"/>
    <m/>
    <m/>
    <m/>
    <m/>
    <m/>
    <n v="-100"/>
    <m/>
    <m/>
    <m/>
  </r>
  <r>
    <x v="502"/>
    <m/>
    <x v="35"/>
    <m/>
    <s v="Card charge (FACEBK *GGMY3EM4L2)"/>
    <x v="95"/>
    <m/>
    <m/>
    <m/>
    <m/>
    <m/>
    <n v="-100"/>
    <m/>
    <m/>
    <m/>
  </r>
  <r>
    <x v="502"/>
    <m/>
    <x v="48"/>
    <m/>
    <s v="Card charge (FACEBK *GMFSFBV2D2)"/>
    <x v="95"/>
    <m/>
    <m/>
    <m/>
    <m/>
    <m/>
    <n v="-1434"/>
    <m/>
    <m/>
    <m/>
  </r>
  <r>
    <x v="502"/>
    <m/>
    <x v="2"/>
    <m/>
    <s v="Card charge (CURSOR, AI POWERED IDE)"/>
    <x v="161"/>
    <m/>
    <m/>
    <m/>
    <m/>
    <m/>
    <n v="-20.2"/>
    <m/>
    <m/>
    <m/>
  </r>
  <r>
    <x v="503"/>
    <m/>
    <x v="35"/>
    <m/>
    <s v="Card charge (FACEBK *UE5A5D94L2)"/>
    <x v="95"/>
    <m/>
    <m/>
    <m/>
    <m/>
    <m/>
    <n v="-100"/>
    <m/>
    <m/>
    <m/>
  </r>
  <r>
    <x v="503"/>
    <m/>
    <x v="35"/>
    <m/>
    <s v="Card charge (FACEBK *FNYL5CV4L2)"/>
    <x v="95"/>
    <m/>
    <m/>
    <m/>
    <m/>
    <m/>
    <n v="-100"/>
    <m/>
    <m/>
    <m/>
  </r>
  <r>
    <x v="504"/>
    <m/>
    <x v="35"/>
    <m/>
    <s v="Card charge (FACEBK *43488CV4L2)"/>
    <x v="95"/>
    <m/>
    <m/>
    <m/>
    <m/>
    <m/>
    <n v="-100"/>
    <m/>
    <m/>
    <m/>
  </r>
  <r>
    <x v="504"/>
    <m/>
    <x v="35"/>
    <m/>
    <s v="Card charge (FACEBK *HD2T4C54L2)"/>
    <x v="95"/>
    <m/>
    <m/>
    <m/>
    <m/>
    <m/>
    <n v="-100"/>
    <m/>
    <m/>
    <m/>
  </r>
  <r>
    <x v="504"/>
    <m/>
    <x v="35"/>
    <m/>
    <s v="Card charge (FACEBK *AWDT8CV4L2)"/>
    <x v="95"/>
    <m/>
    <m/>
    <m/>
    <m/>
    <m/>
    <n v="-100"/>
    <m/>
    <m/>
    <m/>
  </r>
  <r>
    <x v="504"/>
    <m/>
    <x v="35"/>
    <m/>
    <s v="Card charge (FACEBK *NBAZ6EM4L2)"/>
    <x v="95"/>
    <m/>
    <m/>
    <m/>
    <m/>
    <m/>
    <n v="-100"/>
    <m/>
    <m/>
    <m/>
  </r>
  <r>
    <x v="505"/>
    <m/>
    <x v="35"/>
    <m/>
    <s v="Card charge (FACEBK *3EKEBCV4L2)"/>
    <x v="95"/>
    <m/>
    <m/>
    <m/>
    <m/>
    <m/>
    <n v="-100"/>
    <m/>
    <m/>
    <m/>
  </r>
  <r>
    <x v="505"/>
    <m/>
    <x v="35"/>
    <m/>
    <s v="Card charge (FACEBK *NUVT8D94L2)"/>
    <x v="95"/>
    <m/>
    <m/>
    <m/>
    <m/>
    <m/>
    <n v="-100"/>
    <m/>
    <m/>
    <m/>
  </r>
  <r>
    <x v="506"/>
    <m/>
    <x v="12"/>
    <m/>
    <s v="Payment from Hotmart"/>
    <x v="190"/>
    <m/>
    <m/>
    <m/>
    <m/>
    <n v="-3497"/>
    <n v="3497"/>
    <m/>
    <m/>
    <m/>
  </r>
  <r>
    <x v="507"/>
    <m/>
    <x v="35"/>
    <m/>
    <s v="Card charge (FACEBK *ZFVYXCR4L2)"/>
    <x v="95"/>
    <m/>
    <m/>
    <m/>
    <m/>
    <m/>
    <n v="-100"/>
    <m/>
    <m/>
    <m/>
  </r>
  <r>
    <x v="507"/>
    <m/>
    <x v="35"/>
    <m/>
    <s v="Card charge (FACEBK *5QQ7VBZ3L2)"/>
    <x v="95"/>
    <m/>
    <m/>
    <m/>
    <m/>
    <m/>
    <n v="-100"/>
    <m/>
    <m/>
    <m/>
  </r>
  <r>
    <x v="507"/>
    <m/>
    <x v="35"/>
    <m/>
    <s v="Card charge (FACEBK *Z4E6HCV4L2)"/>
    <x v="95"/>
    <m/>
    <m/>
    <m/>
    <m/>
    <m/>
    <n v="-100"/>
    <m/>
    <m/>
    <m/>
  </r>
  <r>
    <x v="507"/>
    <m/>
    <x v="35"/>
    <m/>
    <s v="Card charge (FACEBK *2MCHFEM4L2)"/>
    <x v="95"/>
    <m/>
    <m/>
    <m/>
    <m/>
    <m/>
    <n v="-100"/>
    <m/>
    <m/>
    <m/>
  </r>
  <r>
    <x v="507"/>
    <m/>
    <x v="35"/>
    <m/>
    <s v="Card charge (FACEBK *ZD4B7DH4L2)"/>
    <x v="95"/>
    <m/>
    <m/>
    <m/>
    <m/>
    <m/>
    <n v="-100"/>
    <m/>
    <m/>
    <m/>
  </r>
  <r>
    <x v="507"/>
    <m/>
    <x v="35"/>
    <m/>
    <s v="Card charge (FACEBK *VPBZ5CV3L2)"/>
    <x v="95"/>
    <m/>
    <m/>
    <m/>
    <m/>
    <m/>
    <n v="-100"/>
    <m/>
    <m/>
    <m/>
  </r>
  <r>
    <x v="507"/>
    <m/>
    <x v="2"/>
    <m/>
    <s v="Card charge (STREAMYARD.COM)"/>
    <x v="168"/>
    <m/>
    <m/>
    <m/>
    <m/>
    <m/>
    <n v="-53.92"/>
    <m/>
    <m/>
    <m/>
  </r>
  <r>
    <x v="508"/>
    <m/>
    <x v="35"/>
    <m/>
    <s v="Card charge (FACEBK *TXFF2CZ3L2)"/>
    <x v="95"/>
    <m/>
    <m/>
    <m/>
    <m/>
    <m/>
    <n v="-100"/>
    <m/>
    <m/>
    <m/>
  </r>
  <r>
    <x v="508"/>
    <m/>
    <x v="35"/>
    <m/>
    <s v="Card charge (FACEBK *SX8VFC54L2)"/>
    <x v="95"/>
    <m/>
    <m/>
    <m/>
    <m/>
    <m/>
    <n v="-100"/>
    <m/>
    <m/>
    <m/>
  </r>
  <r>
    <x v="508"/>
    <m/>
    <x v="49"/>
    <m/>
    <s v="Card charge (MANYCHAT.COM)"/>
    <x v="81"/>
    <m/>
    <m/>
    <m/>
    <m/>
    <m/>
    <n v="-50.5"/>
    <m/>
    <m/>
    <m/>
  </r>
  <r>
    <x v="508"/>
    <m/>
    <x v="49"/>
    <m/>
    <s v="Card charge (MANYCHAT.COM)"/>
    <x v="81"/>
    <m/>
    <m/>
    <m/>
    <m/>
    <m/>
    <n v="-50.5"/>
    <m/>
    <m/>
    <m/>
  </r>
  <r>
    <x v="508"/>
    <m/>
    <x v="49"/>
    <m/>
    <s v="Card charge (MANYCHAT.COM)"/>
    <x v="81"/>
    <m/>
    <m/>
    <m/>
    <m/>
    <m/>
    <n v="-50.5"/>
    <m/>
    <m/>
    <m/>
  </r>
  <r>
    <x v="508"/>
    <m/>
    <x v="49"/>
    <m/>
    <s v="Card charge (MANYCHAT.COM)"/>
    <x v="81"/>
    <m/>
    <m/>
    <m/>
    <m/>
    <m/>
    <n v="-50.5"/>
    <m/>
    <m/>
    <m/>
  </r>
  <r>
    <x v="508"/>
    <m/>
    <x v="49"/>
    <m/>
    <s v="Card charge (MANYCHAT.COM)"/>
    <x v="81"/>
    <m/>
    <m/>
    <m/>
    <m/>
    <m/>
    <n v="-50.5"/>
    <m/>
    <m/>
    <m/>
  </r>
  <r>
    <x v="508"/>
    <m/>
    <x v="49"/>
    <m/>
    <s v="Card charge (MANYCHAT.COM)"/>
    <x v="81"/>
    <m/>
    <m/>
    <m/>
    <m/>
    <m/>
    <n v="-10.1"/>
    <m/>
    <m/>
    <m/>
  </r>
  <r>
    <x v="509"/>
    <m/>
    <x v="35"/>
    <m/>
    <s v="Card charge (FACEBK *Q4HSHDH4L2)"/>
    <x v="95"/>
    <m/>
    <m/>
    <m/>
    <m/>
    <m/>
    <n v="-100"/>
    <m/>
    <m/>
    <m/>
  </r>
  <r>
    <x v="509"/>
    <m/>
    <x v="35"/>
    <m/>
    <s v="Card charge (FACEBK *XG5APCV4L2)"/>
    <x v="95"/>
    <m/>
    <m/>
    <m/>
    <m/>
    <m/>
    <n v="-100"/>
    <m/>
    <m/>
    <m/>
  </r>
  <r>
    <x v="509"/>
    <m/>
    <x v="32"/>
    <m/>
    <s v="Card charge (www.fiverr.com)"/>
    <x v="225"/>
    <m/>
    <m/>
    <m/>
    <m/>
    <m/>
    <n v="-56.25"/>
    <m/>
    <m/>
    <m/>
  </r>
  <r>
    <x v="509"/>
    <m/>
    <x v="49"/>
    <m/>
    <s v="Card charge (MANYCHAT.COM)"/>
    <x v="81"/>
    <m/>
    <m/>
    <m/>
    <m/>
    <m/>
    <n v="-50.5"/>
    <m/>
    <m/>
    <m/>
  </r>
  <r>
    <x v="510"/>
    <m/>
    <x v="35"/>
    <m/>
    <s v="Card charge (FACEBK *9RVKMDH4L2)"/>
    <x v="95"/>
    <m/>
    <m/>
    <m/>
    <m/>
    <m/>
    <n v="-100"/>
    <m/>
    <m/>
    <m/>
  </r>
  <r>
    <x v="510"/>
    <m/>
    <x v="2"/>
    <m/>
    <s v="Card charge (HOSTINGER)"/>
    <x v="33"/>
    <m/>
    <m/>
    <m/>
    <m/>
    <m/>
    <n v="-34.340000000000003"/>
    <m/>
    <m/>
    <m/>
  </r>
  <r>
    <x v="510"/>
    <m/>
    <x v="2"/>
    <m/>
    <s v="Card charge (CURSOR USAGE MID  JAN)"/>
    <x v="161"/>
    <m/>
    <m/>
    <m/>
    <m/>
    <m/>
    <n v="-20.2"/>
    <m/>
    <m/>
    <m/>
  </r>
  <r>
    <x v="511"/>
    <m/>
    <x v="35"/>
    <m/>
    <s v="Card charge (FACEBK *WJWWXEM4L2)"/>
    <x v="95"/>
    <m/>
    <m/>
    <m/>
    <m/>
    <m/>
    <n v="-100"/>
    <m/>
    <m/>
    <m/>
  </r>
  <r>
    <x v="512"/>
    <m/>
    <x v="35"/>
    <m/>
    <s v="Card charge (FACEBK *QCX65DV4L2)"/>
    <x v="95"/>
    <m/>
    <m/>
    <m/>
    <m/>
    <m/>
    <n v="-100"/>
    <m/>
    <m/>
    <m/>
  </r>
  <r>
    <x v="512"/>
    <m/>
    <x v="35"/>
    <m/>
    <s v="Card charge (FACEBK *5HCBSDH4L2)"/>
    <x v="95"/>
    <m/>
    <m/>
    <m/>
    <m/>
    <m/>
    <n v="-100"/>
    <m/>
    <m/>
    <m/>
  </r>
  <r>
    <x v="512"/>
    <m/>
    <x v="48"/>
    <m/>
    <s v="Card charge (MANYCHAT.COM)"/>
    <x v="81"/>
    <m/>
    <m/>
    <m/>
    <m/>
    <m/>
    <n v="-20.2"/>
    <m/>
    <m/>
    <m/>
  </r>
  <r>
    <x v="512"/>
    <m/>
    <x v="48"/>
    <m/>
    <s v="Card charge (MANYCHAT.COM)"/>
    <x v="81"/>
    <m/>
    <m/>
    <m/>
    <m/>
    <m/>
    <n v="-20.2"/>
    <m/>
    <m/>
    <m/>
  </r>
  <r>
    <x v="512"/>
    <m/>
    <x v="48"/>
    <m/>
    <s v="Card charge (MANYCHAT.COM)"/>
    <x v="81"/>
    <m/>
    <m/>
    <m/>
    <m/>
    <m/>
    <n v="-20.2"/>
    <m/>
    <m/>
    <m/>
  </r>
  <r>
    <x v="512"/>
    <m/>
    <x v="48"/>
    <m/>
    <s v="Card charge (MANYCHAT.COM)"/>
    <x v="81"/>
    <m/>
    <m/>
    <m/>
    <m/>
    <m/>
    <n v="-20.2"/>
    <m/>
    <m/>
    <m/>
  </r>
  <r>
    <x v="512"/>
    <m/>
    <x v="48"/>
    <m/>
    <s v="Card charge (MANYCHAT.COM)"/>
    <x v="81"/>
    <m/>
    <m/>
    <m/>
    <m/>
    <m/>
    <n v="-20.2"/>
    <m/>
    <m/>
    <m/>
  </r>
  <r>
    <x v="512"/>
    <m/>
    <x v="48"/>
    <m/>
    <s v="Card charge (MANYCHAT.COM)"/>
    <x v="81"/>
    <m/>
    <m/>
    <m/>
    <m/>
    <m/>
    <n v="-20.2"/>
    <m/>
    <m/>
    <m/>
  </r>
  <r>
    <x v="512"/>
    <m/>
    <x v="48"/>
    <m/>
    <s v="Card charge (MANYCHAT.COM)"/>
    <x v="81"/>
    <m/>
    <m/>
    <m/>
    <m/>
    <m/>
    <n v="-20.2"/>
    <m/>
    <m/>
    <m/>
  </r>
  <r>
    <x v="512"/>
    <m/>
    <x v="48"/>
    <m/>
    <s v="Card charge (MANYCHAT.COM)"/>
    <x v="81"/>
    <m/>
    <m/>
    <m/>
    <m/>
    <m/>
    <n v="-20.2"/>
    <m/>
    <m/>
    <m/>
  </r>
  <r>
    <x v="512"/>
    <m/>
    <x v="48"/>
    <m/>
    <s v="Card charge (MANYCHAT.COM)"/>
    <x v="81"/>
    <m/>
    <m/>
    <m/>
    <m/>
    <m/>
    <n v="-20.2"/>
    <m/>
    <m/>
    <m/>
  </r>
  <r>
    <x v="512"/>
    <m/>
    <x v="48"/>
    <m/>
    <s v="Card charge (MANYCHAT.COM)"/>
    <x v="81"/>
    <m/>
    <m/>
    <m/>
    <m/>
    <m/>
    <n v="-20.2"/>
    <m/>
    <m/>
    <m/>
  </r>
  <r>
    <x v="512"/>
    <m/>
    <x v="2"/>
    <m/>
    <s v="Card charge (GREATAPPS)"/>
    <x v="143"/>
    <m/>
    <m/>
    <m/>
    <m/>
    <m/>
    <n v="-52.8"/>
    <m/>
    <m/>
    <m/>
  </r>
  <r>
    <x v="513"/>
    <m/>
    <x v="35"/>
    <m/>
    <s v="Card charge (FACEBK *8Y4V8DV4L2)"/>
    <x v="95"/>
    <m/>
    <m/>
    <m/>
    <m/>
    <m/>
    <n v="-100"/>
    <m/>
    <m/>
    <m/>
  </r>
  <r>
    <x v="513"/>
    <m/>
    <x v="48"/>
    <m/>
    <s v="Card charge (MANYCHAT.COM)"/>
    <x v="81"/>
    <m/>
    <m/>
    <m/>
    <m/>
    <m/>
    <n v="-50.5"/>
    <m/>
    <m/>
    <m/>
  </r>
  <r>
    <x v="513"/>
    <m/>
    <x v="48"/>
    <m/>
    <s v="Card charge (MANYCHAT.COM)"/>
    <x v="81"/>
    <m/>
    <m/>
    <m/>
    <m/>
    <m/>
    <n v="-50.5"/>
    <m/>
    <m/>
    <m/>
  </r>
  <r>
    <x v="513"/>
    <m/>
    <x v="48"/>
    <m/>
    <s v="Card charge (MANYCHAT.COM)"/>
    <x v="81"/>
    <m/>
    <m/>
    <m/>
    <m/>
    <m/>
    <n v="-50.5"/>
    <m/>
    <m/>
    <m/>
  </r>
  <r>
    <x v="513"/>
    <m/>
    <x v="48"/>
    <m/>
    <s v="Card charge (MANYCHAT.COM)"/>
    <x v="81"/>
    <m/>
    <m/>
    <m/>
    <m/>
    <m/>
    <n v="-50.5"/>
    <m/>
    <m/>
    <m/>
  </r>
  <r>
    <x v="513"/>
    <m/>
    <x v="48"/>
    <m/>
    <s v="Card charge (MANYCHAT.COM)"/>
    <x v="81"/>
    <m/>
    <m/>
    <m/>
    <m/>
    <m/>
    <n v="-50.5"/>
    <m/>
    <m/>
    <m/>
  </r>
  <r>
    <x v="513"/>
    <m/>
    <x v="48"/>
    <m/>
    <s v="Card charge (MANYCHAT.COM)"/>
    <x v="81"/>
    <m/>
    <m/>
    <m/>
    <m/>
    <m/>
    <n v="-50.5"/>
    <m/>
    <m/>
    <m/>
  </r>
  <r>
    <x v="513"/>
    <m/>
    <x v="48"/>
    <m/>
    <s v="Card charge (MANYCHAT.COM)"/>
    <x v="81"/>
    <m/>
    <m/>
    <m/>
    <m/>
    <m/>
    <n v="-50.5"/>
    <m/>
    <m/>
    <m/>
  </r>
  <r>
    <x v="513"/>
    <m/>
    <x v="48"/>
    <m/>
    <s v="Card charge (MANYCHAT.COM)"/>
    <x v="81"/>
    <m/>
    <m/>
    <m/>
    <m/>
    <m/>
    <n v="-50.5"/>
    <m/>
    <m/>
    <m/>
  </r>
  <r>
    <x v="513"/>
    <m/>
    <x v="48"/>
    <m/>
    <s v="Card charge (MANYCHAT.COM)"/>
    <x v="81"/>
    <m/>
    <m/>
    <m/>
    <m/>
    <m/>
    <n v="-50.5"/>
    <m/>
    <m/>
    <m/>
  </r>
  <r>
    <x v="513"/>
    <m/>
    <x v="48"/>
    <m/>
    <s v="Card charge (MANYCHAT.COM)"/>
    <x v="81"/>
    <m/>
    <m/>
    <m/>
    <m/>
    <m/>
    <n v="-50.5"/>
    <m/>
    <m/>
    <m/>
  </r>
  <r>
    <x v="513"/>
    <m/>
    <x v="48"/>
    <m/>
    <s v="Card charge (MANYCHAT.COM)"/>
    <x v="81"/>
    <m/>
    <m/>
    <m/>
    <m/>
    <m/>
    <n v="-50.5"/>
    <m/>
    <m/>
    <m/>
  </r>
  <r>
    <x v="513"/>
    <m/>
    <x v="48"/>
    <m/>
    <s v="Card charge (MANYCHAT.COM)"/>
    <x v="81"/>
    <m/>
    <m/>
    <m/>
    <m/>
    <m/>
    <n v="-50.5"/>
    <m/>
    <m/>
    <m/>
  </r>
  <r>
    <x v="513"/>
    <m/>
    <x v="48"/>
    <m/>
    <s v="Card charge (MANYCHAT.COM)"/>
    <x v="81"/>
    <m/>
    <m/>
    <m/>
    <m/>
    <m/>
    <n v="-50.5"/>
    <m/>
    <m/>
    <m/>
  </r>
  <r>
    <x v="513"/>
    <m/>
    <x v="48"/>
    <m/>
    <s v="Card charge (MANYCHAT.COM)"/>
    <x v="81"/>
    <m/>
    <m/>
    <m/>
    <m/>
    <m/>
    <n v="-50.5"/>
    <m/>
    <m/>
    <m/>
  </r>
  <r>
    <x v="513"/>
    <m/>
    <x v="48"/>
    <m/>
    <s v="Card charge (MANYCHAT.COM)"/>
    <x v="81"/>
    <m/>
    <m/>
    <m/>
    <m/>
    <m/>
    <n v="-50.5"/>
    <m/>
    <m/>
    <m/>
  </r>
  <r>
    <x v="513"/>
    <m/>
    <x v="48"/>
    <m/>
    <s v="Card charge (MANYCHAT.COM)"/>
    <x v="81"/>
    <m/>
    <m/>
    <m/>
    <m/>
    <m/>
    <n v="-50.5"/>
    <m/>
    <m/>
    <m/>
  </r>
  <r>
    <x v="513"/>
    <m/>
    <x v="48"/>
    <m/>
    <s v="Card charge (MANYCHAT.COM)"/>
    <x v="81"/>
    <m/>
    <m/>
    <m/>
    <m/>
    <m/>
    <n v="-20.2"/>
    <m/>
    <m/>
    <m/>
  </r>
  <r>
    <x v="513"/>
    <m/>
    <x v="48"/>
    <m/>
    <s v="Card charge (MANYCHAT.COM)"/>
    <x v="81"/>
    <m/>
    <m/>
    <m/>
    <m/>
    <m/>
    <n v="-20.2"/>
    <m/>
    <m/>
    <m/>
  </r>
  <r>
    <x v="513"/>
    <m/>
    <x v="12"/>
    <m/>
    <s v="Payment from Hotmart"/>
    <x v="190"/>
    <m/>
    <m/>
    <m/>
    <m/>
    <n v="-2220.09"/>
    <n v="2220.09"/>
    <m/>
    <m/>
    <m/>
  </r>
  <r>
    <x v="514"/>
    <m/>
    <x v="2"/>
    <m/>
    <s v="Card charge (Trae)"/>
    <x v="161"/>
    <m/>
    <m/>
    <m/>
    <m/>
    <m/>
    <n v="-3.05"/>
    <m/>
    <m/>
    <m/>
  </r>
  <r>
    <x v="514"/>
    <m/>
    <x v="48"/>
    <m/>
    <s v="Card charge (MANYCHAT.COM)"/>
    <x v="81"/>
    <m/>
    <m/>
    <m/>
    <m/>
    <m/>
    <n v="-50.5"/>
    <m/>
    <m/>
    <m/>
  </r>
  <r>
    <x v="514"/>
    <m/>
    <x v="48"/>
    <m/>
    <s v="Card charge (MANYCHAT.COM)"/>
    <x v="81"/>
    <m/>
    <m/>
    <m/>
    <m/>
    <m/>
    <n v="-50.5"/>
    <m/>
    <m/>
    <m/>
  </r>
  <r>
    <x v="514"/>
    <m/>
    <x v="48"/>
    <m/>
    <s v="Card charge (MANYCHAT.COM)"/>
    <x v="81"/>
    <m/>
    <m/>
    <m/>
    <m/>
    <m/>
    <n v="-50.5"/>
    <m/>
    <m/>
    <m/>
  </r>
  <r>
    <x v="514"/>
    <m/>
    <x v="48"/>
    <m/>
    <s v="Card charge (MANYCHAT.COM)"/>
    <x v="81"/>
    <m/>
    <m/>
    <m/>
    <m/>
    <m/>
    <n v="-50.5"/>
    <m/>
    <m/>
    <m/>
  </r>
  <r>
    <x v="514"/>
    <m/>
    <x v="48"/>
    <m/>
    <s v="Card charge (MANYCHAT.COM)"/>
    <x v="81"/>
    <m/>
    <m/>
    <m/>
    <m/>
    <m/>
    <n v="-50.5"/>
    <m/>
    <m/>
    <m/>
  </r>
  <r>
    <x v="514"/>
    <m/>
    <x v="48"/>
    <m/>
    <s v="Card charge (MANYCHAT.COM)"/>
    <x v="81"/>
    <m/>
    <m/>
    <m/>
    <m/>
    <m/>
    <n v="-50.5"/>
    <m/>
    <m/>
    <m/>
  </r>
  <r>
    <x v="514"/>
    <m/>
    <x v="48"/>
    <m/>
    <s v="Card charge (MANYCHAT.COM)"/>
    <x v="81"/>
    <m/>
    <m/>
    <m/>
    <m/>
    <m/>
    <n v="-50.5"/>
    <m/>
    <m/>
    <m/>
  </r>
  <r>
    <x v="514"/>
    <m/>
    <x v="48"/>
    <m/>
    <s v="Card charge (MANYCHAT.COM)"/>
    <x v="81"/>
    <m/>
    <m/>
    <m/>
    <m/>
    <m/>
    <n v="-50.5"/>
    <m/>
    <m/>
    <m/>
  </r>
  <r>
    <x v="514"/>
    <m/>
    <x v="2"/>
    <m/>
    <s v="Card charge (DLO*hostinger.co)"/>
    <x v="33"/>
    <m/>
    <m/>
    <m/>
    <m/>
    <m/>
    <n v="-9.9"/>
    <m/>
    <m/>
    <m/>
  </r>
  <r>
    <x v="515"/>
    <m/>
    <x v="35"/>
    <m/>
    <s v="Card charge (FACEBK *GDKACD54L2)"/>
    <x v="81"/>
    <m/>
    <m/>
    <m/>
    <m/>
    <m/>
    <n v="-100"/>
    <m/>
    <m/>
    <m/>
  </r>
  <r>
    <x v="515"/>
    <m/>
    <x v="35"/>
    <m/>
    <s v="Card charge (FACEBK *V89REFM4L2)"/>
    <x v="95"/>
    <m/>
    <m/>
    <m/>
    <m/>
    <m/>
    <n v="-100"/>
    <m/>
    <m/>
    <m/>
  </r>
  <r>
    <x v="515"/>
    <m/>
    <x v="48"/>
    <m/>
    <s v="Card charge (MANYCHAT.COM)"/>
    <x v="81"/>
    <m/>
    <m/>
    <m/>
    <m/>
    <m/>
    <n v="-101"/>
    <m/>
    <m/>
    <m/>
  </r>
  <r>
    <x v="515"/>
    <m/>
    <x v="2"/>
    <m/>
    <s v="Card charge (CURSOR USAGE MID  JAN)"/>
    <x v="161"/>
    <m/>
    <m/>
    <m/>
    <m/>
    <m/>
    <n v="-41.16"/>
    <m/>
    <m/>
    <m/>
  </r>
  <r>
    <x v="516"/>
    <m/>
    <x v="48"/>
    <m/>
    <s v="Card charge (MANYCHAT.COM)"/>
    <x v="81"/>
    <m/>
    <m/>
    <m/>
    <m/>
    <m/>
    <n v="-50.5"/>
    <m/>
    <m/>
    <m/>
  </r>
  <r>
    <x v="516"/>
    <m/>
    <x v="48"/>
    <m/>
    <s v="Card charge (MANYCHAT.COM)"/>
    <x v="81"/>
    <m/>
    <m/>
    <m/>
    <m/>
    <m/>
    <n v="-50.5"/>
    <m/>
    <m/>
    <m/>
  </r>
  <r>
    <x v="516"/>
    <m/>
    <x v="48"/>
    <m/>
    <s v="Card charge (MANYCHAT.COM)"/>
    <x v="81"/>
    <m/>
    <m/>
    <m/>
    <m/>
    <m/>
    <n v="-50.5"/>
    <m/>
    <m/>
    <m/>
  </r>
  <r>
    <x v="516"/>
    <m/>
    <x v="48"/>
    <m/>
    <s v="Card charge (MANYCHAT.COM)"/>
    <x v="81"/>
    <m/>
    <m/>
    <m/>
    <m/>
    <m/>
    <n v="-50.5"/>
    <m/>
    <m/>
    <m/>
  </r>
  <r>
    <x v="516"/>
    <m/>
    <x v="48"/>
    <m/>
    <s v="Card charge (MANYCHAT.COM)"/>
    <x v="81"/>
    <m/>
    <m/>
    <m/>
    <m/>
    <m/>
    <n v="-50.5"/>
    <m/>
    <m/>
    <m/>
  </r>
  <r>
    <x v="516"/>
    <m/>
    <x v="48"/>
    <m/>
    <s v="Card charge (MANYCHAT.COM)"/>
    <x v="81"/>
    <m/>
    <m/>
    <m/>
    <m/>
    <m/>
    <n v="-50.5"/>
    <m/>
    <m/>
    <m/>
  </r>
  <r>
    <x v="516"/>
    <m/>
    <x v="48"/>
    <m/>
    <s v="Card charge (MANYCHAT.COM)"/>
    <x v="81"/>
    <m/>
    <m/>
    <m/>
    <m/>
    <m/>
    <n v="-50.5"/>
    <m/>
    <m/>
    <m/>
  </r>
  <r>
    <x v="516"/>
    <m/>
    <x v="48"/>
    <m/>
    <s v="Card charge (MANYCHAT.COM)"/>
    <x v="81"/>
    <m/>
    <m/>
    <m/>
    <m/>
    <m/>
    <n v="-50.5"/>
    <m/>
    <m/>
    <m/>
  </r>
  <r>
    <x v="516"/>
    <m/>
    <x v="48"/>
    <m/>
    <s v="Card charge (MANYCHAT.COM)"/>
    <x v="81"/>
    <m/>
    <m/>
    <m/>
    <m/>
    <m/>
    <n v="-50.5"/>
    <m/>
    <m/>
    <m/>
  </r>
  <r>
    <x v="516"/>
    <m/>
    <x v="48"/>
    <m/>
    <s v="Card charge (MANYCHAT.COM)"/>
    <x v="81"/>
    <m/>
    <m/>
    <m/>
    <m/>
    <m/>
    <n v="-50.5"/>
    <m/>
    <m/>
    <m/>
  </r>
  <r>
    <x v="516"/>
    <m/>
    <x v="48"/>
    <m/>
    <s v="Card charge (MANYCHAT.COM)"/>
    <x v="81"/>
    <m/>
    <m/>
    <m/>
    <m/>
    <m/>
    <n v="-50.5"/>
    <m/>
    <m/>
    <m/>
  </r>
  <r>
    <x v="516"/>
    <m/>
    <x v="48"/>
    <m/>
    <s v="Card charge (MANYCHAT.COM)"/>
    <x v="81"/>
    <m/>
    <m/>
    <m/>
    <m/>
    <m/>
    <n v="-50.5"/>
    <m/>
    <m/>
    <m/>
  </r>
  <r>
    <x v="516"/>
    <m/>
    <x v="48"/>
    <m/>
    <s v="Card charge (MANYCHAT.COM)"/>
    <x v="81"/>
    <m/>
    <m/>
    <m/>
    <m/>
    <m/>
    <n v="-50.5"/>
    <m/>
    <m/>
    <m/>
  </r>
  <r>
    <x v="516"/>
    <m/>
    <x v="48"/>
    <m/>
    <s v="Card charge (MANYCHAT.COM)"/>
    <x v="81"/>
    <m/>
    <m/>
    <m/>
    <m/>
    <m/>
    <n v="-50.5"/>
    <m/>
    <m/>
    <m/>
  </r>
  <r>
    <x v="516"/>
    <m/>
    <x v="48"/>
    <m/>
    <s v="Card charge (MANYCHAT.COM)"/>
    <x v="81"/>
    <m/>
    <m/>
    <m/>
    <m/>
    <m/>
    <n v="-50.5"/>
    <m/>
    <m/>
    <m/>
  </r>
  <r>
    <x v="516"/>
    <m/>
    <x v="48"/>
    <m/>
    <s v="Card charge (MANYCHAT.COM)"/>
    <x v="81"/>
    <m/>
    <m/>
    <m/>
    <m/>
    <m/>
    <n v="-50.5"/>
    <m/>
    <m/>
    <m/>
  </r>
  <r>
    <x v="516"/>
    <m/>
    <x v="2"/>
    <m/>
    <s v="Card charge (DLO*hostinger.co)"/>
    <x v="33"/>
    <m/>
    <m/>
    <m/>
    <m/>
    <m/>
    <n v="-23.62"/>
    <m/>
    <m/>
    <m/>
  </r>
  <r>
    <x v="517"/>
    <m/>
    <x v="35"/>
    <m/>
    <s v="Card charge (FACEBK *HZM2FD54L2)"/>
    <x v="95"/>
    <m/>
    <m/>
    <m/>
    <m/>
    <m/>
    <n v="-100"/>
    <m/>
    <m/>
    <m/>
  </r>
  <r>
    <x v="518"/>
    <m/>
    <x v="50"/>
    <m/>
    <s v="Card charge (FACEBK *D3F4LBHL92)"/>
    <x v="95"/>
    <m/>
    <m/>
    <m/>
    <m/>
    <m/>
    <n v="-561.9"/>
    <m/>
    <m/>
    <m/>
  </r>
  <r>
    <x v="518"/>
    <m/>
    <x v="35"/>
    <m/>
    <s v="Card charge (FACEBK *QAXGFEH4L2)"/>
    <x v="95"/>
    <m/>
    <m/>
    <m/>
    <m/>
    <m/>
    <n v="-100"/>
    <m/>
    <m/>
    <m/>
  </r>
  <r>
    <x v="518"/>
    <m/>
    <x v="49"/>
    <m/>
    <s v="Card charge (PANDAVIDEO.COM)"/>
    <x v="192"/>
    <m/>
    <m/>
    <m/>
    <m/>
    <m/>
    <n v="-15.05"/>
    <m/>
    <m/>
    <m/>
  </r>
  <r>
    <x v="518"/>
    <m/>
    <x v="46"/>
    <m/>
    <s v="VENTAS HASTA EL 31 ENE"/>
    <x v="60"/>
    <m/>
    <m/>
    <m/>
    <m/>
    <n v="158.69"/>
    <m/>
    <m/>
    <m/>
    <m/>
  </r>
  <r>
    <x v="518"/>
    <m/>
    <x v="48"/>
    <m/>
    <s v="VENTAS HASTA EL 31 ENE"/>
    <x v="60"/>
    <m/>
    <m/>
    <m/>
    <m/>
    <n v="36369"/>
    <m/>
    <m/>
    <m/>
    <m/>
  </r>
  <r>
    <x v="518"/>
    <m/>
    <x v="35"/>
    <m/>
    <s v="VENTAS HASTA EL 31 ENE"/>
    <x v="60"/>
    <m/>
    <m/>
    <m/>
    <m/>
    <n v="5516"/>
    <m/>
    <m/>
    <m/>
    <m/>
  </r>
  <r>
    <x v="518"/>
    <m/>
    <x v="49"/>
    <m/>
    <s v="VENTAS HASTA EL 31 ENE"/>
    <x v="60"/>
    <m/>
    <m/>
    <m/>
    <m/>
    <n v="16855"/>
    <m/>
    <m/>
    <m/>
    <m/>
  </r>
  <r>
    <x v="518"/>
    <m/>
    <x v="22"/>
    <m/>
    <s v="VENTAS DIC Y ENE"/>
    <x v="60"/>
    <m/>
    <n v="6512"/>
    <m/>
    <m/>
    <m/>
    <m/>
    <m/>
    <m/>
    <m/>
  </r>
  <r>
    <x v="519"/>
    <m/>
    <x v="35"/>
    <m/>
    <s v="Card charge (FACEBK *D27H3ED4L2)"/>
    <x v="95"/>
    <m/>
    <m/>
    <m/>
    <m/>
    <m/>
    <n v="-100"/>
    <m/>
    <m/>
    <m/>
  </r>
  <r>
    <x v="519"/>
    <m/>
    <x v="2"/>
    <m/>
    <s v="Card charge (CURSOR USAGE MID  JAN)"/>
    <x v="161"/>
    <m/>
    <m/>
    <m/>
    <m/>
    <m/>
    <n v="-60.61"/>
    <m/>
    <m/>
    <m/>
  </r>
  <r>
    <x v="520"/>
    <m/>
    <x v="50"/>
    <m/>
    <s v="Card charge (FACEBK *7UJZ4BMK92)"/>
    <x v="95"/>
    <m/>
    <m/>
    <m/>
    <m/>
    <m/>
    <n v="-69.73"/>
    <m/>
    <m/>
    <m/>
  </r>
  <r>
    <x v="520"/>
    <m/>
    <x v="35"/>
    <m/>
    <s v="Card charge (FACEBK *NK7WVDV4L2)"/>
    <x v="95"/>
    <m/>
    <m/>
    <m/>
    <m/>
    <m/>
    <n v="-100"/>
    <m/>
    <m/>
    <m/>
  </r>
  <r>
    <x v="520"/>
    <m/>
    <x v="2"/>
    <m/>
    <s v="Card charge (PANDAVIDEO.COM)"/>
    <x v="192"/>
    <m/>
    <m/>
    <m/>
    <m/>
    <m/>
    <n v="-38.28"/>
    <m/>
    <m/>
    <m/>
  </r>
  <r>
    <x v="521"/>
    <m/>
    <x v="2"/>
    <m/>
    <s v="Card charge (STAPE, INC.)"/>
    <x v="75"/>
    <m/>
    <m/>
    <m/>
    <m/>
    <m/>
    <n v="-50.5"/>
    <m/>
    <m/>
    <m/>
  </r>
  <r>
    <x v="521"/>
    <m/>
    <x v="2"/>
    <m/>
    <s v="Card charge (STAPE, INC.)"/>
    <x v="75"/>
    <m/>
    <m/>
    <m/>
    <m/>
    <m/>
    <n v="-20.2"/>
    <m/>
    <m/>
    <m/>
  </r>
  <r>
    <x v="522"/>
    <m/>
    <x v="48"/>
    <m/>
    <s v="VENTAS AL 25 FEB"/>
    <x v="60"/>
    <m/>
    <m/>
    <m/>
    <m/>
    <n v="10358"/>
    <m/>
    <m/>
    <m/>
    <m/>
  </r>
  <r>
    <x v="522"/>
    <m/>
    <x v="35"/>
    <m/>
    <s v="VENTAS AL 25 FEB"/>
    <x v="60"/>
    <m/>
    <m/>
    <m/>
    <m/>
    <n v="2064"/>
    <m/>
    <m/>
    <m/>
    <m/>
  </r>
  <r>
    <x v="521"/>
    <m/>
    <x v="35"/>
    <m/>
    <s v="Card charge (FACEBK *62XQXDV4L2)"/>
    <x v="95"/>
    <m/>
    <m/>
    <m/>
    <m/>
    <m/>
    <n v="-47.68"/>
    <m/>
    <m/>
    <m/>
  </r>
  <r>
    <x v="523"/>
    <m/>
    <x v="2"/>
    <m/>
    <s v="Payment to Bancolombia (5406)"/>
    <x v="141"/>
    <m/>
    <m/>
    <m/>
    <m/>
    <m/>
    <n v="-4617.5200000000004"/>
    <m/>
    <m/>
    <m/>
  </r>
  <r>
    <x v="523"/>
    <m/>
    <x v="12"/>
    <m/>
    <s v="Payment from Hotmart"/>
    <x v="190"/>
    <m/>
    <m/>
    <m/>
    <m/>
    <n v="-12997"/>
    <n v="12997"/>
    <m/>
    <m/>
    <m/>
  </r>
  <r>
    <x v="523"/>
    <m/>
    <x v="50"/>
    <m/>
    <s v="Card charge (FACEBK *XEDLYA5L92)"/>
    <x v="95"/>
    <m/>
    <m/>
    <m/>
    <m/>
    <m/>
    <n v="-441.5"/>
    <m/>
    <m/>
    <m/>
  </r>
  <r>
    <x v="523"/>
    <m/>
    <x v="35"/>
    <m/>
    <s v="Card charge (FACEBK *PAVTDER4L2)"/>
    <x v="95"/>
    <m/>
    <m/>
    <m/>
    <m/>
    <m/>
    <n v="-100"/>
    <m/>
    <m/>
    <m/>
  </r>
  <r>
    <x v="523"/>
    <m/>
    <x v="2"/>
    <m/>
    <s v="Card charge (ADVERONIX LLC)"/>
    <x v="148"/>
    <m/>
    <m/>
    <m/>
    <m/>
    <m/>
    <n v="-39.39"/>
    <m/>
    <m/>
    <m/>
  </r>
  <r>
    <x v="524"/>
    <m/>
    <x v="2"/>
    <m/>
    <s v="Card charge (HOTMART)"/>
    <x v="187"/>
    <m/>
    <m/>
    <m/>
    <m/>
    <m/>
    <n v="-100.78"/>
    <m/>
    <m/>
    <m/>
  </r>
  <r>
    <x v="524"/>
    <m/>
    <x v="35"/>
    <m/>
    <s v="Card charge (FACEBK *AFKNXEH4L2)"/>
    <x v="95"/>
    <m/>
    <m/>
    <m/>
    <m/>
    <m/>
    <n v="-100"/>
    <m/>
    <m/>
    <m/>
  </r>
  <r>
    <x v="525"/>
    <m/>
    <x v="35"/>
    <m/>
    <s v="Card charge (FACEBK *QEN6QDZ3L2)"/>
    <x v="95"/>
    <m/>
    <m/>
    <m/>
    <m/>
    <m/>
    <n v="-100"/>
    <m/>
    <m/>
    <m/>
  </r>
  <r>
    <x v="525"/>
    <m/>
    <x v="48"/>
    <m/>
    <s v="Card charge (MANYCHAT.COM)"/>
    <x v="81"/>
    <m/>
    <m/>
    <m/>
    <m/>
    <m/>
    <n v="-532.78"/>
    <m/>
    <m/>
    <m/>
  </r>
  <r>
    <x v="525"/>
    <m/>
    <x v="2"/>
    <m/>
    <s v="Card charge (DLO*hostinger.co)"/>
    <x v="33"/>
    <m/>
    <m/>
    <m/>
    <m/>
    <m/>
    <n v="-15.59"/>
    <m/>
    <m/>
    <m/>
  </r>
  <r>
    <x v="526"/>
    <m/>
    <x v="35"/>
    <m/>
    <s v="Card charge (FACEBK *KY5CUER4L2)"/>
    <x v="95"/>
    <m/>
    <m/>
    <m/>
    <m/>
    <m/>
    <n v="-100"/>
    <m/>
    <m/>
    <m/>
  </r>
  <r>
    <x v="526"/>
    <m/>
    <x v="50"/>
    <m/>
    <s v="Card charge (FACEBK *DHR2BD9L92)"/>
    <x v="95"/>
    <m/>
    <m/>
    <m/>
    <m/>
    <m/>
    <n v="-909"/>
    <m/>
    <m/>
    <m/>
  </r>
  <r>
    <x v="527"/>
    <m/>
    <x v="2"/>
    <m/>
    <s v="Card charge (FLODESK.COM)"/>
    <x v="90"/>
    <m/>
    <m/>
    <m/>
    <m/>
    <m/>
    <n v="-38.380000000000003"/>
    <m/>
    <m/>
    <m/>
  </r>
  <r>
    <x v="527"/>
    <m/>
    <x v="2"/>
    <m/>
    <s v="Card charge (HOSTINGER)"/>
    <x v="33"/>
    <m/>
    <m/>
    <m/>
    <m/>
    <m/>
    <n v="-16.239999999999998"/>
    <m/>
    <m/>
    <m/>
  </r>
  <r>
    <x v="527"/>
    <m/>
    <x v="2"/>
    <m/>
    <s v="Card charge (DLO*hostinger.co)"/>
    <x v="33"/>
    <m/>
    <m/>
    <m/>
    <m/>
    <m/>
    <n v="-67.540000000000006"/>
    <m/>
    <m/>
    <m/>
  </r>
  <r>
    <x v="528"/>
    <m/>
    <x v="35"/>
    <m/>
    <s v="Card charge (FACEBK *ZDJXYDZ3L2)"/>
    <x v="95"/>
    <m/>
    <m/>
    <m/>
    <m/>
    <m/>
    <n v="-100"/>
    <m/>
    <m/>
    <m/>
  </r>
  <r>
    <x v="529"/>
    <m/>
    <x v="2"/>
    <m/>
    <s v="Card charge (CAPCUT)"/>
    <x v="196"/>
    <m/>
    <m/>
    <m/>
    <m/>
    <m/>
    <n v="-16.93"/>
    <m/>
    <m/>
    <m/>
  </r>
  <r>
    <x v="529"/>
    <m/>
    <x v="49"/>
    <m/>
    <s v="Card charge (NIFTYIMAGES)"/>
    <x v="226"/>
    <m/>
    <m/>
    <m/>
    <m/>
    <m/>
    <n v="-25.25"/>
    <m/>
    <m/>
    <m/>
  </r>
  <r>
    <x v="529"/>
    <m/>
    <x v="2"/>
    <m/>
    <s v="Card charge (HOSTINGER)"/>
    <x v="33"/>
    <m/>
    <m/>
    <m/>
    <m/>
    <m/>
    <n v="-37.770000000000003"/>
    <m/>
    <m/>
    <m/>
  </r>
  <r>
    <x v="529"/>
    <m/>
    <x v="2"/>
    <m/>
    <s v="Card charge (GOOGLE *Google One)"/>
    <x v="183"/>
    <m/>
    <m/>
    <m/>
    <m/>
    <m/>
    <n v="-31.71"/>
    <m/>
    <m/>
    <m/>
  </r>
  <r>
    <x v="530"/>
    <m/>
    <x v="35"/>
    <m/>
    <s v="Card charge (FACEBK *FU23ME54L2)"/>
    <x v="95"/>
    <m/>
    <m/>
    <m/>
    <m/>
    <m/>
    <n v="-100"/>
    <m/>
    <m/>
    <m/>
  </r>
  <r>
    <x v="530"/>
    <m/>
    <x v="50"/>
    <m/>
    <s v="Card charge (FACEBK *QFVSPB5L92)"/>
    <x v="95"/>
    <m/>
    <m/>
    <m/>
    <m/>
    <m/>
    <n v="-909"/>
    <m/>
    <m/>
    <m/>
  </r>
  <r>
    <x v="530"/>
    <m/>
    <x v="2"/>
    <m/>
    <s v="Card charge (CURSOR, AI POWERED IDE)"/>
    <x v="161"/>
    <m/>
    <m/>
    <m/>
    <m/>
    <m/>
    <n v="-20.2"/>
    <m/>
    <m/>
    <m/>
  </r>
  <r>
    <x v="531"/>
    <m/>
    <x v="2"/>
    <m/>
    <s v="Card charge (CASA AVELINA)"/>
    <x v="227"/>
    <m/>
    <m/>
    <m/>
    <m/>
    <m/>
    <n v="-33.89"/>
    <m/>
    <m/>
    <m/>
  </r>
  <r>
    <x v="531"/>
    <m/>
    <x v="2"/>
    <m/>
    <s v="Card charge (NELSON JAVIER GOMEZ SA)"/>
    <x v="217"/>
    <m/>
    <m/>
    <m/>
    <m/>
    <m/>
    <n v="-48.43"/>
    <m/>
    <m/>
    <m/>
  </r>
  <r>
    <x v="531"/>
    <m/>
    <x v="35"/>
    <m/>
    <s v="Card charge (FACEBK *RHNJDFR4L2)"/>
    <x v="95"/>
    <m/>
    <m/>
    <m/>
    <m/>
    <m/>
    <n v="-100"/>
    <m/>
    <m/>
    <m/>
  </r>
  <r>
    <x v="531"/>
    <m/>
    <x v="2"/>
    <m/>
    <s v="Card charge (CURSOR USAGE  JAN)"/>
    <x v="161"/>
    <m/>
    <m/>
    <m/>
    <m/>
    <m/>
    <n v="-31.1"/>
    <m/>
    <m/>
    <m/>
  </r>
  <r>
    <x v="532"/>
    <m/>
    <x v="50"/>
    <m/>
    <s v="Card charge (FACEBK *A8BK8CML92)"/>
    <x v="95"/>
    <m/>
    <m/>
    <m/>
    <m/>
    <m/>
    <n v="-141.4"/>
    <m/>
    <m/>
    <m/>
  </r>
  <r>
    <x v="532"/>
    <m/>
    <x v="35"/>
    <m/>
    <s v="Card charge (FACEBK *JL563G94L2)"/>
    <x v="95"/>
    <m/>
    <m/>
    <m/>
    <m/>
    <m/>
    <n v="-100"/>
    <m/>
    <m/>
    <m/>
  </r>
  <r>
    <x v="532"/>
    <m/>
    <x v="2"/>
    <m/>
    <s v="Card charge (CURCUMA)"/>
    <x v="217"/>
    <m/>
    <m/>
    <m/>
    <m/>
    <m/>
    <n v="-196.6"/>
    <m/>
    <m/>
    <m/>
  </r>
  <r>
    <x v="532"/>
    <m/>
    <x v="2"/>
    <m/>
    <s v="Card charge (MAKALI 1 SAS)"/>
    <x v="217"/>
    <m/>
    <m/>
    <m/>
    <m/>
    <m/>
    <n v="-176.92"/>
    <m/>
    <m/>
    <m/>
  </r>
  <r>
    <x v="533"/>
    <m/>
    <x v="2"/>
    <m/>
    <s v="Card charge (STREAMYARD.COM)"/>
    <x v="168"/>
    <m/>
    <m/>
    <m/>
    <m/>
    <m/>
    <n v="-53.92"/>
    <m/>
    <m/>
    <m/>
  </r>
  <r>
    <x v="533"/>
    <m/>
    <x v="35"/>
    <m/>
    <s v="Card charge (FACEBK *G2NV6G94L2)"/>
    <x v="95"/>
    <m/>
    <m/>
    <m/>
    <m/>
    <m/>
    <n v="-100"/>
    <m/>
    <m/>
    <m/>
  </r>
  <r>
    <x v="533"/>
    <m/>
    <x v="2"/>
    <m/>
    <s v="Card charge (NELSON JAVIER GOMEZ SA)"/>
    <x v="217"/>
    <m/>
    <m/>
    <m/>
    <m/>
    <m/>
    <n v="-108.44"/>
    <m/>
    <m/>
    <m/>
  </r>
  <r>
    <x v="533"/>
    <m/>
    <x v="2"/>
    <m/>
    <s v="Card charge (CASA AVELINA)"/>
    <x v="227"/>
    <m/>
    <m/>
    <m/>
    <m/>
    <m/>
    <n v="-34.01"/>
    <m/>
    <m/>
    <m/>
  </r>
  <r>
    <x v="533"/>
    <m/>
    <x v="2"/>
    <m/>
    <s v="Card charge (GRAN ELITE SAS)"/>
    <x v="227"/>
    <m/>
    <m/>
    <m/>
    <m/>
    <m/>
    <n v="-32.33"/>
    <m/>
    <m/>
    <m/>
  </r>
  <r>
    <x v="534"/>
    <m/>
    <x v="35"/>
    <m/>
    <s v="Card charge (FACEBK *5HPV9G94L2)"/>
    <x v="95"/>
    <m/>
    <m/>
    <m/>
    <m/>
    <m/>
    <n v="-100"/>
    <m/>
    <m/>
    <m/>
  </r>
  <r>
    <x v="534"/>
    <m/>
    <x v="50"/>
    <m/>
    <s v="Payment from Terence HOOGSTOEL"/>
    <x v="228"/>
    <m/>
    <m/>
    <m/>
    <m/>
    <m/>
    <n v="995"/>
    <m/>
    <m/>
    <m/>
  </r>
  <r>
    <x v="534"/>
    <m/>
    <x v="12"/>
    <m/>
    <s v="Payment from Hotmart"/>
    <x v="190"/>
    <m/>
    <m/>
    <m/>
    <m/>
    <n v="-49487"/>
    <n v="49487"/>
    <m/>
    <m/>
    <m/>
  </r>
  <r>
    <x v="534"/>
    <m/>
    <x v="50"/>
    <m/>
    <s v="Card charge (FACEBK *S54RHDDL92)"/>
    <x v="95"/>
    <m/>
    <m/>
    <m/>
    <m/>
    <m/>
    <n v="-828.54"/>
    <m/>
    <m/>
    <m/>
  </r>
  <r>
    <x v="534"/>
    <m/>
    <x v="2"/>
    <m/>
    <s v="Card charge (CASA AVELINA)"/>
    <x v="227"/>
    <m/>
    <m/>
    <m/>
    <m/>
    <m/>
    <n v="-34.01"/>
    <m/>
    <m/>
    <m/>
  </r>
  <r>
    <x v="534"/>
    <m/>
    <x v="2"/>
    <m/>
    <s v="Card charge (GRACIELA RAMIREZ DE SI)"/>
    <x v="217"/>
    <m/>
    <m/>
    <m/>
    <m/>
    <m/>
    <n v="-29.19"/>
    <m/>
    <m/>
    <m/>
  </r>
  <r>
    <x v="534"/>
    <m/>
    <x v="2"/>
    <m/>
    <s v="Card charge (PAISA WOK RODADERO)"/>
    <x v="217"/>
    <m/>
    <m/>
    <m/>
    <m/>
    <m/>
    <n v="-27.43"/>
    <m/>
    <m/>
    <m/>
  </r>
  <r>
    <x v="535"/>
    <m/>
    <x v="35"/>
    <m/>
    <s v="Card charge (FACEBK *PMU96FV3L2)"/>
    <x v="95"/>
    <m/>
    <m/>
    <m/>
    <m/>
    <m/>
    <n v="-100"/>
    <m/>
    <m/>
    <m/>
  </r>
  <r>
    <x v="535"/>
    <m/>
    <x v="2"/>
    <m/>
    <s v="Card charge (CASA AVELINA)"/>
    <x v="227"/>
    <m/>
    <m/>
    <m/>
    <m/>
    <m/>
    <n v="-55.08"/>
    <m/>
    <m/>
    <m/>
  </r>
  <r>
    <x v="535"/>
    <m/>
    <x v="2"/>
    <m/>
    <s v="Card charge (PAISA WOK RODADERO)"/>
    <x v="217"/>
    <m/>
    <m/>
    <m/>
    <m/>
    <m/>
    <n v="-20.69"/>
    <m/>
    <m/>
    <m/>
  </r>
  <r>
    <x v="535"/>
    <m/>
    <x v="2"/>
    <m/>
    <s v="Card charge (CASA AVELINA)"/>
    <x v="227"/>
    <m/>
    <m/>
    <m/>
    <m/>
    <m/>
    <n v="-13.67"/>
    <m/>
    <m/>
    <m/>
  </r>
  <r>
    <x v="536"/>
    <m/>
    <x v="49"/>
    <m/>
    <s v="Payment to Bancolombia (1197)"/>
    <x v="229"/>
    <m/>
    <m/>
    <m/>
    <m/>
    <m/>
    <n v="-2319.14"/>
    <m/>
    <m/>
    <m/>
  </r>
  <r>
    <x v="536"/>
    <m/>
    <x v="2"/>
    <m/>
    <s v="Card charge (HOSTINGER)"/>
    <x v="33"/>
    <m/>
    <m/>
    <m/>
    <m/>
    <m/>
    <n v="-11.27"/>
    <m/>
    <m/>
    <m/>
  </r>
  <r>
    <x v="536"/>
    <m/>
    <x v="2"/>
    <m/>
    <s v="Card charge (HOSTINGER)"/>
    <x v="33"/>
    <m/>
    <m/>
    <m/>
    <m/>
    <m/>
    <n v="-10.66"/>
    <m/>
    <m/>
    <m/>
  </r>
  <r>
    <x v="537"/>
    <m/>
    <x v="35"/>
    <m/>
    <s v="Card charge (FACEBK *J49RWFD4L2)"/>
    <x v="95"/>
    <m/>
    <m/>
    <m/>
    <m/>
    <m/>
    <n v="-49.44"/>
    <m/>
    <m/>
    <m/>
  </r>
  <r>
    <x v="537"/>
    <m/>
    <x v="2"/>
    <m/>
    <s v="Card charge (GRAN ELITE SAS)"/>
    <x v="227"/>
    <m/>
    <m/>
    <m/>
    <m/>
    <m/>
    <n v="-40.770000000000003"/>
    <m/>
    <m/>
    <m/>
  </r>
  <r>
    <x v="537"/>
    <m/>
    <x v="2"/>
    <m/>
    <s v="Card charge (CASA AVELINA)"/>
    <x v="227"/>
    <m/>
    <m/>
    <m/>
    <m/>
    <m/>
    <n v="-33.61"/>
    <m/>
    <m/>
    <m/>
  </r>
  <r>
    <x v="537"/>
    <m/>
    <x v="35"/>
    <m/>
    <s v="Card charge (FACEBK *QPV5KHM4L2)"/>
    <x v="95"/>
    <m/>
    <m/>
    <m/>
    <m/>
    <m/>
    <n v="-100"/>
    <m/>
    <m/>
    <m/>
  </r>
  <r>
    <x v="537"/>
    <m/>
    <x v="2"/>
    <m/>
    <s v="Card charge (LLAMERICANSW)"/>
    <x v="230"/>
    <m/>
    <m/>
    <m/>
    <m/>
    <m/>
    <n v="-39.380000000000003"/>
    <m/>
    <m/>
    <m/>
  </r>
  <r>
    <x v="538"/>
    <m/>
    <x v="35"/>
    <m/>
    <s v="Card charge (FACEBK *2GQGHFHYD2)"/>
    <x v="95"/>
    <m/>
    <m/>
    <m/>
    <m/>
    <m/>
    <n v="-40.799999999999997"/>
    <m/>
    <m/>
    <m/>
  </r>
  <r>
    <x v="538"/>
    <m/>
    <x v="35"/>
    <m/>
    <s v="Card charge (FACEBK *KRZDFGH4L2)"/>
    <x v="95"/>
    <m/>
    <m/>
    <m/>
    <m/>
    <m/>
    <n v="-1.52"/>
    <m/>
    <m/>
    <m/>
  </r>
  <r>
    <x v="538"/>
    <m/>
    <x v="2"/>
    <m/>
    <s v="Card charge (BOLD*La Plaza Santa)"/>
    <x v="217"/>
    <m/>
    <m/>
    <m/>
    <m/>
    <m/>
    <n v="-131.63"/>
    <m/>
    <m/>
    <m/>
  </r>
  <r>
    <x v="539"/>
    <m/>
    <x v="2"/>
    <m/>
    <s v="Card charge (CURSOR  AI POWERED IDE)"/>
    <x v="161"/>
    <m/>
    <m/>
    <m/>
    <m/>
    <m/>
    <n v="-64.72"/>
    <m/>
    <m/>
    <m/>
  </r>
  <r>
    <x v="539"/>
    <m/>
    <x v="50"/>
    <m/>
    <s v="Card charge (FACEBK *6KHWPEZK92)"/>
    <x v="95"/>
    <m/>
    <m/>
    <m/>
    <m/>
    <m/>
    <n v="-617.86"/>
    <m/>
    <m/>
    <m/>
  </r>
  <r>
    <x v="539"/>
    <m/>
    <x v="2"/>
    <m/>
    <s v="Card charge (HOSTINGER)"/>
    <x v="33"/>
    <m/>
    <m/>
    <m/>
    <m/>
    <m/>
    <n v="-10.57"/>
    <m/>
    <m/>
    <m/>
  </r>
  <r>
    <x v="540"/>
    <m/>
    <x v="2"/>
    <m/>
    <s v="Card charge (CURSOR  AI POWERED IDE)"/>
    <x v="161"/>
    <m/>
    <m/>
    <m/>
    <m/>
    <m/>
    <n v="11.69"/>
    <m/>
    <m/>
    <m/>
  </r>
  <r>
    <x v="522"/>
    <m/>
    <x v="2"/>
    <m/>
    <s v="Card charge (CURSOR USAGE  FEB)"/>
    <x v="161"/>
    <m/>
    <m/>
    <m/>
    <m/>
    <m/>
    <n v="-10.1"/>
    <m/>
    <m/>
    <m/>
  </r>
  <r>
    <x v="522"/>
    <m/>
    <x v="50"/>
    <m/>
    <s v="VENTAS AL 25 FEB"/>
    <x v="60"/>
    <m/>
    <m/>
    <m/>
    <m/>
    <n v="14112"/>
    <m/>
    <m/>
    <m/>
    <m/>
  </r>
  <r>
    <x v="522"/>
    <m/>
    <x v="49"/>
    <m/>
    <s v="VENTAS AL 25 FEB"/>
    <x v="60"/>
    <m/>
    <m/>
    <m/>
    <m/>
    <n v="1235"/>
    <n v="10500"/>
    <m/>
    <m/>
    <m/>
  </r>
  <r>
    <x v="541"/>
    <m/>
    <x v="43"/>
    <m/>
    <m/>
    <x v="208"/>
    <m/>
    <m/>
    <m/>
    <m/>
    <m/>
    <m/>
    <m/>
    <m/>
    <m/>
  </r>
  <r>
    <x v="541"/>
    <m/>
    <x v="43"/>
    <m/>
    <m/>
    <x v="208"/>
    <m/>
    <m/>
    <m/>
    <m/>
    <m/>
    <m/>
    <m/>
    <m/>
    <m/>
  </r>
  <r>
    <x v="541"/>
    <m/>
    <x v="43"/>
    <m/>
    <m/>
    <x v="208"/>
    <m/>
    <m/>
    <m/>
    <m/>
    <m/>
    <m/>
    <m/>
    <m/>
    <m/>
  </r>
  <r>
    <x v="541"/>
    <m/>
    <x v="43"/>
    <m/>
    <m/>
    <x v="208"/>
    <m/>
    <m/>
    <m/>
    <m/>
    <m/>
    <m/>
    <m/>
    <m/>
    <m/>
  </r>
  <r>
    <x v="541"/>
    <m/>
    <x v="43"/>
    <m/>
    <m/>
    <x v="208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F0242-7C5E-40B2-962F-F8F183EC9451}" name="TablaDinámica4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B4:C38" firstHeaderRow="1" firstDataRow="1" firstDataCol="1" rowPageCount="1" colPageCount="1"/>
  <pivotFields count="21">
    <pivotField showAll="0">
      <items count="5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541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7"/>
        <item x="359"/>
        <item x="360"/>
        <item x="362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9"/>
        <item x="356"/>
        <item x="358"/>
        <item x="361"/>
        <item x="380"/>
        <item x="363"/>
        <item x="377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18"/>
        <item x="422"/>
        <item x="430"/>
        <item x="423"/>
        <item x="424"/>
        <item x="425"/>
        <item x="426"/>
        <item x="427"/>
        <item x="428"/>
        <item x="429"/>
        <item x="431"/>
        <item x="432"/>
        <item x="433"/>
        <item x="434"/>
        <item x="435"/>
        <item x="436"/>
        <item x="437"/>
        <item x="438"/>
        <item x="439"/>
        <item x="453"/>
        <item x="442"/>
        <item x="440"/>
        <item x="449"/>
        <item x="441"/>
        <item x="444"/>
        <item x="443"/>
        <item x="445"/>
        <item x="446"/>
        <item x="447"/>
        <item x="448"/>
        <item x="451"/>
        <item x="452"/>
        <item x="450"/>
        <item x="454"/>
        <item x="455"/>
        <item x="456"/>
        <item x="457"/>
        <item x="458"/>
        <item x="459"/>
        <item x="460"/>
        <item x="461"/>
        <item x="462"/>
        <item x="464"/>
        <item x="463"/>
        <item x="378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3"/>
        <item x="524"/>
        <item x="525"/>
        <item x="526"/>
        <item x="527"/>
        <item x="528"/>
        <item x="529"/>
        <item x="530"/>
        <item m="1" x="542"/>
        <item x="531"/>
        <item x="532"/>
        <item x="533"/>
        <item x="534"/>
        <item x="535"/>
        <item x="536"/>
        <item x="537"/>
        <item x="538"/>
        <item x="539"/>
        <item x="540"/>
        <item x="522"/>
        <item t="default"/>
      </items>
    </pivotField>
    <pivotField showAll="0"/>
    <pivotField axis="axisRow" showAll="0" sortType="descending">
      <items count="53">
        <item sd="0" x="43"/>
        <item sd="0" x="30"/>
        <item sd="0" x="0"/>
        <item sd="0" x="11"/>
        <item sd="0" x="50"/>
        <item sd="0" x="46"/>
        <item sd="0" x="40"/>
        <item sd="0" x="38"/>
        <item sd="0" x="32"/>
        <item sd="0" x="33"/>
        <item sd="0" x="49"/>
        <item sd="0" x="41"/>
        <item sd="0" x="31"/>
        <item sd="0" x="10"/>
        <item sd="0" x="4"/>
        <item sd="0" x="1"/>
        <item sd="0" x="17"/>
        <item sd="0" x="6"/>
        <item sd="0" x="35"/>
        <item sd="0" x="12"/>
        <item sd="0" x="29"/>
        <item sd="0" x="3"/>
        <item sd="0" x="21"/>
        <item sd="0" x="20"/>
        <item sd="0" x="42"/>
        <item sd="0" x="37"/>
        <item sd="0" x="26"/>
        <item sd="0" x="19"/>
        <item sd="0" x="18"/>
        <item sd="0" x="16"/>
        <item sd="0" x="14"/>
        <item sd="0" x="13"/>
        <item sd="0" x="48"/>
        <item sd="0" x="44"/>
        <item sd="0" m="1" x="51"/>
        <item sd="0" x="45"/>
        <item sd="0" x="9"/>
        <item sd="0" x="8"/>
        <item sd="0" x="28"/>
        <item sd="0" x="5"/>
        <item sd="0" x="15"/>
        <item sd="0" x="7"/>
        <item sd="0" x="34"/>
        <item sd="0" x="24"/>
        <item sd="0" x="27"/>
        <item sd="0" x="36"/>
        <item sd="0" x="25"/>
        <item sd="0" x="39"/>
        <item sd="0" x="23"/>
        <item sd="0" x="2"/>
        <item sd="0" x="22"/>
        <item sd="0" x="47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238">
        <item x="1"/>
        <item x="148"/>
        <item x="50"/>
        <item x="82"/>
        <item x="149"/>
        <item x="84"/>
        <item x="105"/>
        <item x="130"/>
        <item x="131"/>
        <item x="167"/>
        <item x="35"/>
        <item x="176"/>
        <item x="88"/>
        <item x="72"/>
        <item x="157"/>
        <item x="58"/>
        <item x="47"/>
        <item x="59"/>
        <item x="44"/>
        <item x="2"/>
        <item x="79"/>
        <item x="161"/>
        <item x="153"/>
        <item x="91"/>
        <item x="139"/>
        <item x="133"/>
        <item x="124"/>
        <item x="51"/>
        <item x="3"/>
        <item x="80"/>
        <item x="45"/>
        <item x="46"/>
        <item x="86"/>
        <item x="96"/>
        <item x="145"/>
        <item x="142"/>
        <item x="26"/>
        <item x="4"/>
        <item x="77"/>
        <item x="95"/>
        <item x="114"/>
        <item x="171"/>
        <item x="90"/>
        <item x="78"/>
        <item x="85"/>
        <item x="5"/>
        <item x="111"/>
        <item x="143"/>
        <item x="71"/>
        <item x="33"/>
        <item x="31"/>
        <item x="32"/>
        <item x="152"/>
        <item x="137"/>
        <item x="175"/>
        <item x="112"/>
        <item x="106"/>
        <item x="19"/>
        <item m="1" x="231"/>
        <item x="60"/>
        <item m="1" x="232"/>
        <item x="61"/>
        <item x="110"/>
        <item x="52"/>
        <item x="53"/>
        <item x="99"/>
        <item x="40"/>
        <item x="132"/>
        <item x="76"/>
        <item x="117"/>
        <item x="109"/>
        <item x="74"/>
        <item x="56"/>
        <item x="36"/>
        <item x="34"/>
        <item x="81"/>
        <item x="6"/>
        <item x="73"/>
        <item x="128"/>
        <item x="164"/>
        <item x="141"/>
        <item x="150"/>
        <item x="66"/>
        <item x="65"/>
        <item x="101"/>
        <item x="129"/>
        <item x="42"/>
        <item x="63"/>
        <item x="89"/>
        <item x="37"/>
        <item x="25"/>
        <item x="7"/>
        <item x="162"/>
        <item x="62"/>
        <item x="140"/>
        <item x="93"/>
        <item x="64"/>
        <item x="30"/>
        <item x="92"/>
        <item x="108"/>
        <item x="181"/>
        <item x="163"/>
        <item x="107"/>
        <item x="38"/>
        <item x="41"/>
        <item x="113"/>
        <item x="159"/>
        <item x="118"/>
        <item x="20"/>
        <item x="8"/>
        <item x="119"/>
        <item x="104"/>
        <item x="67"/>
        <item x="68"/>
        <item x="69"/>
        <item x="70"/>
        <item x="147"/>
        <item x="102"/>
        <item x="9"/>
        <item x="27"/>
        <item x="10"/>
        <item x="48"/>
        <item x="21"/>
        <item x="120"/>
        <item x="11"/>
        <item x="103"/>
        <item x="121"/>
        <item x="12"/>
        <item x="136"/>
        <item x="135"/>
        <item x="13"/>
        <item x="14"/>
        <item x="15"/>
        <item x="54"/>
        <item x="116"/>
        <item x="43"/>
        <item x="98"/>
        <item x="83"/>
        <item x="100"/>
        <item x="22"/>
        <item x="127"/>
        <item x="154"/>
        <item x="75"/>
        <item x="87"/>
        <item x="168"/>
        <item x="39"/>
        <item x="151"/>
        <item x="155"/>
        <item x="169"/>
        <item x="158"/>
        <item x="123"/>
        <item x="16"/>
        <item x="17"/>
        <item x="18"/>
        <item x="24"/>
        <item x="28"/>
        <item x="125"/>
        <item x="179"/>
        <item x="0"/>
        <item x="55"/>
        <item x="49"/>
        <item x="122"/>
        <item x="134"/>
        <item x="57"/>
        <item x="97"/>
        <item x="115"/>
        <item x="174"/>
        <item x="126"/>
        <item x="144"/>
        <item x="170"/>
        <item x="94"/>
        <item x="23"/>
        <item x="29"/>
        <item x="208"/>
        <item x="138"/>
        <item x="165"/>
        <item x="146"/>
        <item x="160"/>
        <item x="172"/>
        <item x="173"/>
        <item x="156"/>
        <item x="180"/>
        <item x="178"/>
        <item x="177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m="1" x="236"/>
        <item x="204"/>
        <item x="166"/>
        <item x="199"/>
        <item x="205"/>
        <item x="206"/>
        <item x="207"/>
        <item x="209"/>
        <item x="210"/>
        <item x="211"/>
        <item x="212"/>
        <item x="213"/>
        <item m="1" x="235"/>
        <item x="214"/>
        <item x="215"/>
        <item x="216"/>
        <item x="217"/>
        <item x="218"/>
        <item x="219"/>
        <item x="220"/>
        <item x="221"/>
        <item m="1" x="234"/>
        <item x="222"/>
        <item x="223"/>
        <item x="224"/>
        <item x="225"/>
        <item x="226"/>
        <item x="227"/>
        <item x="229"/>
        <item x="230"/>
        <item m="1" x="233"/>
        <item x="2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compact="0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compact="0" subtotalTop="0" multipleItemSelectionAllowed="1" showAll="0">
      <items count="7">
        <item h="1" sd="0" x="1"/>
        <item h="1" sd="0" x="2"/>
        <item x="3"/>
        <item h="1" x="0"/>
        <item x="4"/>
        <item h="1" x="5"/>
        <item t="default"/>
      </items>
    </pivotField>
  </pivotFields>
  <rowFields count="2">
    <field x="2"/>
    <field x="5"/>
  </rowFields>
  <rowItems count="34">
    <i>
      <x v="32"/>
    </i>
    <i>
      <x v="10"/>
    </i>
    <i>
      <x v="4"/>
    </i>
    <i>
      <x v="50"/>
    </i>
    <i>
      <x v="35"/>
    </i>
    <i>
      <x v="18"/>
    </i>
    <i>
      <x v="5"/>
    </i>
    <i>
      <x v="9"/>
    </i>
    <i>
      <x v="19"/>
    </i>
    <i>
      <x v="1"/>
    </i>
    <i>
      <x v="6"/>
    </i>
    <i>
      <x/>
    </i>
    <i>
      <x v="26"/>
    </i>
    <i>
      <x v="33"/>
    </i>
    <i>
      <x v="20"/>
    </i>
    <i>
      <x v="27"/>
    </i>
    <i>
      <x v="12"/>
    </i>
    <i>
      <x v="7"/>
    </i>
    <i>
      <x v="44"/>
    </i>
    <i>
      <x v="25"/>
    </i>
    <i>
      <x v="11"/>
    </i>
    <i>
      <x v="38"/>
    </i>
    <i>
      <x v="51"/>
    </i>
    <i>
      <x v="46"/>
    </i>
    <i>
      <x v="42"/>
    </i>
    <i>
      <x v="45"/>
    </i>
    <i>
      <x v="48"/>
    </i>
    <i>
      <x v="8"/>
    </i>
    <i>
      <x v="43"/>
    </i>
    <i>
      <x v="47"/>
    </i>
    <i>
      <x v="24"/>
    </i>
    <i>
      <x v="23"/>
    </i>
    <i>
      <x v="49"/>
    </i>
    <i t="grand">
      <x/>
    </i>
  </rowItems>
  <colItems count="1">
    <i/>
  </colItems>
  <pageFields count="1">
    <pageField fld="20" hier="-1"/>
  </pageFields>
  <dataFields count="1">
    <dataField name="Suma de MOVIMIENTOS TOTALES" fld="17" baseField="0" baseItem="0"/>
  </dataFields>
  <formats count="37">
    <format dxfId="84">
      <pivotArea outline="0" collapsedLevelsAreSubtotals="1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20" type="button" dataOnly="0" labelOnly="1" outline="0" axis="axisPage" fieldPosition="0"/>
    </format>
    <format dxfId="79">
      <pivotArea field="18" type="button" dataOnly="0" labelOnly="1" outline="0"/>
    </format>
    <format dxfId="78">
      <pivotArea type="topRight" dataOnly="0" labelOnly="1" outline="0" fieldPosition="0"/>
    </format>
    <format dxfId="77">
      <pivotArea field="2" type="button" dataOnly="0" labelOnly="1" outline="0" axis="axisRow" fieldPosition="0"/>
    </format>
    <format dxfId="76">
      <pivotArea dataOnly="0" labelOnly="1" fieldPosition="0">
        <references count="1">
          <reference field="2" count="32">
            <x v="0"/>
            <x v="1"/>
            <x v="4"/>
            <x v="5"/>
            <x v="6"/>
            <x v="7"/>
            <x v="8"/>
            <x v="9"/>
            <x v="10"/>
            <x v="11"/>
            <x v="12"/>
            <x v="18"/>
            <x v="19"/>
            <x v="20"/>
            <x v="23"/>
            <x v="24"/>
            <x v="25"/>
            <x v="26"/>
            <x v="27"/>
            <x v="32"/>
            <x v="33"/>
            <x v="35"/>
            <x v="38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20" count="0"/>
        </references>
      </pivotArea>
    </format>
    <format dxfId="73">
      <pivotArea dataOnly="0" labelOnly="1" outline="0" fieldPosition="0">
        <references count="1">
          <reference field="20" count="0" defaultSubtotal="1"/>
        </references>
      </pivotArea>
    </format>
    <format dxfId="72">
      <pivotArea dataOnly="0" labelOnly="1" grandCol="1" outline="0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field="20" type="button" dataOnly="0" labelOnly="1" outline="0" axis="axisPage" fieldPosition="0"/>
    </format>
    <format dxfId="67">
      <pivotArea field="18" type="button" dataOnly="0" labelOnly="1" outline="0"/>
    </format>
    <format dxfId="66">
      <pivotArea type="topRight" dataOnly="0" labelOnly="1" outline="0" fieldPosition="0"/>
    </format>
    <format dxfId="65">
      <pivotArea field="2" type="button" dataOnly="0" labelOnly="1" outline="0" axis="axisRow" fieldPosition="0"/>
    </format>
    <format dxfId="64">
      <pivotArea dataOnly="0" labelOnly="1" fieldPosition="0">
        <references count="1">
          <reference field="2" count="32">
            <x v="0"/>
            <x v="1"/>
            <x v="4"/>
            <x v="5"/>
            <x v="6"/>
            <x v="7"/>
            <x v="8"/>
            <x v="9"/>
            <x v="10"/>
            <x v="11"/>
            <x v="12"/>
            <x v="18"/>
            <x v="19"/>
            <x v="20"/>
            <x v="23"/>
            <x v="24"/>
            <x v="25"/>
            <x v="26"/>
            <x v="27"/>
            <x v="32"/>
            <x v="33"/>
            <x v="35"/>
            <x v="38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1">
          <reference field="20" count="0"/>
        </references>
      </pivotArea>
    </format>
    <format dxfId="61">
      <pivotArea dataOnly="0" labelOnly="1" outline="0" fieldPosition="0">
        <references count="1">
          <reference field="20" count="0" defaultSubtotal="1"/>
        </references>
      </pivotArea>
    </format>
    <format dxfId="60">
      <pivotArea dataOnly="0" labelOnly="1" grandCol="1" outline="0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20" type="button" dataOnly="0" labelOnly="1" outline="0" axis="axisPage" fieldPosition="0"/>
    </format>
    <format dxfId="55">
      <pivotArea field="18" type="button" dataOnly="0" labelOnly="1" outline="0"/>
    </format>
    <format dxfId="54">
      <pivotArea type="topRight" dataOnly="0" labelOnly="1" outline="0" fieldPosition="0"/>
    </format>
    <format dxfId="53">
      <pivotArea field="2" type="button" dataOnly="0" labelOnly="1" outline="0" axis="axisRow" fieldPosition="0"/>
    </format>
    <format dxfId="52">
      <pivotArea dataOnly="0" labelOnly="1" fieldPosition="0">
        <references count="1">
          <reference field="2" count="32">
            <x v="0"/>
            <x v="1"/>
            <x v="4"/>
            <x v="5"/>
            <x v="6"/>
            <x v="7"/>
            <x v="8"/>
            <x v="9"/>
            <x v="10"/>
            <x v="11"/>
            <x v="12"/>
            <x v="18"/>
            <x v="19"/>
            <x v="20"/>
            <x v="23"/>
            <x v="24"/>
            <x v="25"/>
            <x v="26"/>
            <x v="27"/>
            <x v="32"/>
            <x v="33"/>
            <x v="35"/>
            <x v="38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51">
      <pivotArea dataOnly="0" labelOnly="1" grandRow="1" outline="0" fieldPosition="0"/>
    </format>
    <format dxfId="50">
      <pivotArea dataOnly="0" labelOnly="1" outline="0" fieldPosition="0">
        <references count="1">
          <reference field="20" count="0"/>
        </references>
      </pivotArea>
    </format>
    <format dxfId="49">
      <pivotArea dataOnly="0" labelOnly="1" outline="0" fieldPosition="0">
        <references count="1">
          <reference field="20" count="0" defaultSubtotal="1"/>
        </references>
      </pivotArea>
    </format>
    <format dxfId="4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5CB9A3-E5B8-4D32-8C98-D2FEB125324A}" name="TablaDinámica4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B3:R95" firstHeaderRow="1" firstDataRow="3" firstDataCol="1"/>
  <pivotFields count="21">
    <pivotField showAll="0">
      <items count="5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541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7"/>
        <item x="359"/>
        <item x="360"/>
        <item x="362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9"/>
        <item x="356"/>
        <item x="358"/>
        <item x="361"/>
        <item x="380"/>
        <item x="363"/>
        <item x="377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18"/>
        <item x="422"/>
        <item x="430"/>
        <item x="423"/>
        <item x="424"/>
        <item x="425"/>
        <item x="426"/>
        <item x="427"/>
        <item x="428"/>
        <item x="429"/>
        <item x="431"/>
        <item x="432"/>
        <item x="433"/>
        <item x="434"/>
        <item x="435"/>
        <item x="436"/>
        <item x="437"/>
        <item x="438"/>
        <item x="439"/>
        <item x="453"/>
        <item x="442"/>
        <item x="440"/>
        <item x="449"/>
        <item x="441"/>
        <item x="444"/>
        <item x="443"/>
        <item x="445"/>
        <item x="446"/>
        <item x="447"/>
        <item x="448"/>
        <item x="451"/>
        <item x="452"/>
        <item x="450"/>
        <item x="454"/>
        <item x="455"/>
        <item x="456"/>
        <item x="457"/>
        <item x="458"/>
        <item x="459"/>
        <item x="460"/>
        <item x="461"/>
        <item x="462"/>
        <item x="464"/>
        <item x="463"/>
        <item x="378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3"/>
        <item x="524"/>
        <item x="525"/>
        <item x="526"/>
        <item x="527"/>
        <item x="528"/>
        <item x="529"/>
        <item x="530"/>
        <item m="1" x="542"/>
        <item x="531"/>
        <item x="532"/>
        <item x="533"/>
        <item x="534"/>
        <item x="535"/>
        <item x="536"/>
        <item x="537"/>
        <item x="538"/>
        <item x="539"/>
        <item x="540"/>
        <item x="522"/>
        <item t="default"/>
      </items>
    </pivotField>
    <pivotField showAll="0"/>
    <pivotField axis="axisRow" showAll="0">
      <items count="53">
        <item sd="0" x="22"/>
        <item x="2"/>
        <item sd="0" x="23"/>
        <item sd="0" x="25"/>
        <item sd="0" x="36"/>
        <item sd="0" x="27"/>
        <item sd="0" x="24"/>
        <item sd="0" x="34"/>
        <item sd="0" x="7"/>
        <item sd="0" x="15"/>
        <item sd="0" x="5"/>
        <item sd="0" x="8"/>
        <item sd="0" x="9"/>
        <item sd="0" x="13"/>
        <item sd="0" x="14"/>
        <item sd="0" x="16"/>
        <item sd="0" x="18"/>
        <item sd="0" x="19"/>
        <item sd="0" x="26"/>
        <item sd="0" x="37"/>
        <item sd="0" x="20"/>
        <item sd="0" x="21"/>
        <item sd="0" x="3"/>
        <item sd="0" x="29"/>
        <item sd="0" x="12"/>
        <item sd="0" x="35"/>
        <item sd="0" x="6"/>
        <item sd="0" x="17"/>
        <item sd="0" x="1"/>
        <item sd="0" x="4"/>
        <item sd="0" x="10"/>
        <item sd="0" x="31"/>
        <item sd="0" x="33"/>
        <item sd="0" x="32"/>
        <item sd="0" x="38"/>
        <item sd="0" x="11"/>
        <item sd="0" x="0"/>
        <item sd="0" x="30"/>
        <item sd="0" x="43"/>
        <item sd="0" x="28"/>
        <item sd="0" x="40"/>
        <item sd="0" x="39"/>
        <item sd="0" x="42"/>
        <item sd="0" x="41"/>
        <item sd="0" x="44"/>
        <item sd="0" m="1" x="51"/>
        <item sd="0" x="45"/>
        <item sd="0" x="46"/>
        <item sd="0" x="48"/>
        <item sd="0" x="49"/>
        <item sd="0" x="50"/>
        <item sd="0" x="47"/>
        <item t="default" sd="0"/>
      </items>
    </pivotField>
    <pivotField showAll="0"/>
    <pivotField showAll="0"/>
    <pivotField axis="axisRow" showAll="0">
      <items count="238">
        <item x="1"/>
        <item x="148"/>
        <item x="50"/>
        <item x="82"/>
        <item x="149"/>
        <item x="84"/>
        <item x="105"/>
        <item x="130"/>
        <item x="131"/>
        <item x="167"/>
        <item x="35"/>
        <item x="176"/>
        <item x="88"/>
        <item x="72"/>
        <item x="157"/>
        <item x="58"/>
        <item x="47"/>
        <item x="59"/>
        <item x="44"/>
        <item x="2"/>
        <item x="79"/>
        <item x="161"/>
        <item x="153"/>
        <item x="91"/>
        <item x="139"/>
        <item x="133"/>
        <item x="124"/>
        <item x="51"/>
        <item x="3"/>
        <item x="80"/>
        <item x="45"/>
        <item x="46"/>
        <item x="86"/>
        <item x="96"/>
        <item x="145"/>
        <item x="142"/>
        <item x="26"/>
        <item x="4"/>
        <item x="77"/>
        <item x="95"/>
        <item x="114"/>
        <item x="171"/>
        <item x="90"/>
        <item x="78"/>
        <item x="85"/>
        <item x="5"/>
        <item x="111"/>
        <item x="143"/>
        <item x="71"/>
        <item x="33"/>
        <item x="31"/>
        <item x="32"/>
        <item x="152"/>
        <item x="137"/>
        <item x="175"/>
        <item x="112"/>
        <item x="106"/>
        <item x="19"/>
        <item m="1" x="231"/>
        <item x="60"/>
        <item m="1" x="232"/>
        <item x="61"/>
        <item x="110"/>
        <item x="52"/>
        <item x="53"/>
        <item x="99"/>
        <item x="40"/>
        <item x="132"/>
        <item x="76"/>
        <item x="117"/>
        <item x="109"/>
        <item x="74"/>
        <item x="56"/>
        <item x="36"/>
        <item x="34"/>
        <item x="81"/>
        <item x="6"/>
        <item x="73"/>
        <item x="128"/>
        <item x="164"/>
        <item x="141"/>
        <item x="150"/>
        <item x="66"/>
        <item x="65"/>
        <item x="101"/>
        <item x="129"/>
        <item x="42"/>
        <item x="63"/>
        <item x="89"/>
        <item x="37"/>
        <item x="25"/>
        <item x="7"/>
        <item x="162"/>
        <item x="62"/>
        <item x="140"/>
        <item x="93"/>
        <item x="64"/>
        <item x="30"/>
        <item x="92"/>
        <item x="108"/>
        <item x="181"/>
        <item x="163"/>
        <item x="107"/>
        <item x="38"/>
        <item x="41"/>
        <item x="113"/>
        <item x="159"/>
        <item x="118"/>
        <item x="20"/>
        <item x="8"/>
        <item x="119"/>
        <item x="104"/>
        <item x="67"/>
        <item x="68"/>
        <item x="69"/>
        <item x="70"/>
        <item x="147"/>
        <item x="102"/>
        <item x="9"/>
        <item x="27"/>
        <item x="10"/>
        <item x="48"/>
        <item x="21"/>
        <item x="120"/>
        <item x="11"/>
        <item x="103"/>
        <item x="121"/>
        <item x="12"/>
        <item x="136"/>
        <item x="135"/>
        <item x="13"/>
        <item x="14"/>
        <item x="15"/>
        <item x="54"/>
        <item x="116"/>
        <item x="43"/>
        <item x="98"/>
        <item x="83"/>
        <item x="100"/>
        <item x="22"/>
        <item x="127"/>
        <item x="154"/>
        <item x="75"/>
        <item x="87"/>
        <item x="168"/>
        <item x="39"/>
        <item x="151"/>
        <item x="155"/>
        <item x="169"/>
        <item x="158"/>
        <item x="123"/>
        <item x="16"/>
        <item x="17"/>
        <item x="18"/>
        <item x="24"/>
        <item x="28"/>
        <item x="125"/>
        <item x="179"/>
        <item x="0"/>
        <item x="55"/>
        <item x="49"/>
        <item x="122"/>
        <item x="134"/>
        <item x="57"/>
        <item x="97"/>
        <item x="115"/>
        <item x="174"/>
        <item x="126"/>
        <item x="144"/>
        <item x="170"/>
        <item x="94"/>
        <item x="23"/>
        <item x="29"/>
        <item x="208"/>
        <item x="138"/>
        <item x="165"/>
        <item x="146"/>
        <item x="160"/>
        <item x="172"/>
        <item x="173"/>
        <item x="156"/>
        <item x="180"/>
        <item x="178"/>
        <item x="177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m="1" x="236"/>
        <item x="204"/>
        <item x="166"/>
        <item x="199"/>
        <item x="205"/>
        <item x="206"/>
        <item x="207"/>
        <item x="209"/>
        <item x="210"/>
        <item x="211"/>
        <item x="212"/>
        <item x="213"/>
        <item m="1" x="235"/>
        <item x="214"/>
        <item x="215"/>
        <item x="216"/>
        <item x="217"/>
        <item x="218"/>
        <item x="219"/>
        <item x="220"/>
        <item x="221"/>
        <item m="1" x="234"/>
        <item x="222"/>
        <item x="223"/>
        <item x="224"/>
        <item x="225"/>
        <item x="226"/>
        <item x="227"/>
        <item x="229"/>
        <item x="230"/>
        <item m="1" x="233"/>
        <item x="2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axis="axisCol" compact="0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Col" compact="0" subtotalTop="0" multipleItemSelectionAllowed="1" showAll="0">
      <items count="7">
        <item h="1" sd="0" x="1"/>
        <item h="1" sd="0" x="2"/>
        <item x="3"/>
        <item h="1" x="0"/>
        <item x="4"/>
        <item h="1" x="5"/>
        <item t="default"/>
      </items>
    </pivotField>
  </pivotFields>
  <rowFields count="2">
    <field x="2"/>
    <field x="5"/>
  </rowFields>
  <rowItems count="90">
    <i>
      <x/>
    </i>
    <i>
      <x v="1"/>
    </i>
    <i r="1">
      <x v="1"/>
    </i>
    <i r="1">
      <x v="4"/>
    </i>
    <i r="1">
      <x v="9"/>
    </i>
    <i r="1">
      <x v="10"/>
    </i>
    <i r="1">
      <x v="11"/>
    </i>
    <i r="1">
      <x v="14"/>
    </i>
    <i r="1">
      <x v="21"/>
    </i>
    <i r="1">
      <x v="22"/>
    </i>
    <i r="1">
      <x v="35"/>
    </i>
    <i r="1">
      <x v="41"/>
    </i>
    <i r="1">
      <x v="42"/>
    </i>
    <i r="1">
      <x v="47"/>
    </i>
    <i r="1">
      <x v="49"/>
    </i>
    <i r="1">
      <x v="53"/>
    </i>
    <i r="1">
      <x v="54"/>
    </i>
    <i r="1">
      <x v="79"/>
    </i>
    <i r="1">
      <x v="80"/>
    </i>
    <i r="1">
      <x v="92"/>
    </i>
    <i r="1">
      <x v="128"/>
    </i>
    <i r="1">
      <x v="142"/>
    </i>
    <i r="1">
      <x v="144"/>
    </i>
    <i r="1">
      <x v="166"/>
    </i>
    <i r="1">
      <x v="174"/>
    </i>
    <i r="1">
      <x v="175"/>
    </i>
    <i r="1">
      <x v="184"/>
    </i>
    <i r="1">
      <x v="185"/>
    </i>
    <i r="1">
      <x v="189"/>
    </i>
    <i r="1">
      <x v="191"/>
    </i>
    <i r="1">
      <x v="192"/>
    </i>
    <i r="1">
      <x v="194"/>
    </i>
    <i r="1">
      <x v="196"/>
    </i>
    <i r="1">
      <x v="197"/>
    </i>
    <i r="1">
      <x v="198"/>
    </i>
    <i r="1">
      <x v="201"/>
    </i>
    <i r="1">
      <x v="202"/>
    </i>
    <i r="1">
      <x v="203"/>
    </i>
    <i r="1">
      <x v="204"/>
    </i>
    <i r="1">
      <x v="206"/>
    </i>
    <i r="1">
      <x v="207"/>
    </i>
    <i r="1">
      <x v="208"/>
    </i>
    <i r="1">
      <x v="209"/>
    </i>
    <i r="1">
      <x v="212"/>
    </i>
    <i r="1">
      <x v="213"/>
    </i>
    <i r="1">
      <x v="214"/>
    </i>
    <i r="1">
      <x v="215"/>
    </i>
    <i r="1">
      <x v="216"/>
    </i>
    <i r="1">
      <x v="218"/>
    </i>
    <i r="1">
      <x v="219"/>
    </i>
    <i r="1">
      <x v="220"/>
    </i>
    <i r="1">
      <x v="221"/>
    </i>
    <i r="1">
      <x v="222"/>
    </i>
    <i r="1">
      <x v="225"/>
    </i>
    <i r="1">
      <x v="227"/>
    </i>
    <i r="1">
      <x v="228"/>
    </i>
    <i r="1">
      <x v="232"/>
    </i>
    <i r="1">
      <x v="234"/>
    </i>
    <i>
      <x v="2"/>
    </i>
    <i>
      <x v="3"/>
    </i>
    <i>
      <x v="4"/>
    </i>
    <i>
      <x v="5"/>
    </i>
    <i>
      <x v="6"/>
    </i>
    <i>
      <x v="7"/>
    </i>
    <i>
      <x v="17"/>
    </i>
    <i>
      <x v="18"/>
    </i>
    <i>
      <x v="19"/>
    </i>
    <i>
      <x v="20"/>
    </i>
    <i>
      <x v="23"/>
    </i>
    <i>
      <x v="24"/>
    </i>
    <i>
      <x v="25"/>
    </i>
    <i>
      <x v="31"/>
    </i>
    <i>
      <x v="32"/>
    </i>
    <i>
      <x v="33"/>
    </i>
    <i>
      <x v="34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2">
    <field x="20"/>
    <field x="18"/>
  </colFields>
  <colItems count="16"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4"/>
      <x v="1"/>
    </i>
    <i r="1">
      <x v="2"/>
    </i>
    <i t="default">
      <x v="4"/>
    </i>
  </colItems>
  <dataFields count="1">
    <dataField name="Suma de MOVIMIENTOS TOTALES" fld="17" baseField="0" baseItem="0"/>
  </dataFields>
  <formats count="43">
    <format dxfId="47">
      <pivotArea outline="0" collapsedLevelsAreSubtotals="1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type="origin" dataOnly="0" labelOnly="1" outline="0" fieldPosition="0"/>
    </format>
    <format dxfId="43">
      <pivotArea field="20" type="button" dataOnly="0" labelOnly="1" outline="0" axis="axisCol" fieldPosition="0"/>
    </format>
    <format dxfId="42">
      <pivotArea field="18" type="button" dataOnly="0" labelOnly="1" outline="0" axis="axisCol" fieldPosition="1"/>
    </format>
    <format dxfId="41">
      <pivotArea type="topRight" dataOnly="0" labelOnly="1" outline="0" fieldPosition="0"/>
    </format>
    <format dxfId="40">
      <pivotArea field="2" type="button" dataOnly="0" labelOnly="1" outline="0" axis="axisRow" fieldPosition="0"/>
    </format>
    <format dxfId="39">
      <pivotArea dataOnly="0" labelOnly="1" fieldPosition="0">
        <references count="1">
          <reference field="2" count="32">
            <x v="0"/>
            <x v="1"/>
            <x v="2"/>
            <x v="3"/>
            <x v="4"/>
            <x v="5"/>
            <x v="6"/>
            <x v="7"/>
            <x v="17"/>
            <x v="18"/>
            <x v="19"/>
            <x v="20"/>
            <x v="23"/>
            <x v="24"/>
            <x v="25"/>
            <x v="31"/>
            <x v="32"/>
            <x v="33"/>
            <x v="34"/>
            <x v="37"/>
            <x v="38"/>
            <x v="39"/>
            <x v="40"/>
            <x v="41"/>
            <x v="42"/>
            <x v="43"/>
            <x v="44"/>
            <x v="46"/>
            <x v="47"/>
            <x v="48"/>
            <x v="49"/>
            <x v="50"/>
          </reference>
        </references>
      </pivotArea>
    </format>
    <format dxfId="38">
      <pivotArea dataOnly="0" labelOnly="1" grandRow="1" outline="0" fieldPosition="0"/>
    </format>
    <format dxfId="37">
      <pivotArea dataOnly="0" labelOnly="1" outline="0" fieldPosition="0">
        <references count="1">
          <reference field="20" count="0"/>
        </references>
      </pivotArea>
    </format>
    <format dxfId="36">
      <pivotArea dataOnly="0" labelOnly="1" outline="0" fieldPosition="0">
        <references count="1">
          <reference field="20" count="0" defaultSubtotal="1"/>
        </references>
      </pivotArea>
    </format>
    <format dxfId="35">
      <pivotArea dataOnly="0" labelOnly="1" grandCol="1" outline="0" fieldPosition="0"/>
    </format>
    <format dxfId="34">
      <pivotArea dataOnly="0" labelOnly="1" outline="0" fieldPosition="0">
        <references count="2">
          <reference field="1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0" count="1" selected="0">
            <x v="2"/>
          </reference>
        </references>
      </pivotArea>
    </format>
    <format dxfId="33">
      <pivotArea dataOnly="0" labelOnly="1" outline="0" fieldPosition="0">
        <references count="2">
          <reference field="18" count="2">
            <x v="1"/>
            <x v="2"/>
          </reference>
          <reference field="20" count="1" selected="0">
            <x v="4"/>
          </reference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type="origin" dataOnly="0" labelOnly="1" outline="0" fieldPosition="0"/>
    </format>
    <format dxfId="29">
      <pivotArea field="20" type="button" dataOnly="0" labelOnly="1" outline="0" axis="axisCol" fieldPosition="0"/>
    </format>
    <format dxfId="28">
      <pivotArea field="18" type="button" dataOnly="0" labelOnly="1" outline="0" axis="axisCol" fieldPosition="1"/>
    </format>
    <format dxfId="27">
      <pivotArea type="topRight" dataOnly="0" labelOnly="1" outline="0" fieldPosition="0"/>
    </format>
    <format dxfId="26">
      <pivotArea field="2" type="button" dataOnly="0" labelOnly="1" outline="0" axis="axisRow" fieldPosition="0"/>
    </format>
    <format dxfId="25">
      <pivotArea dataOnly="0" labelOnly="1" fieldPosition="0">
        <references count="1">
          <reference field="2" count="32">
            <x v="0"/>
            <x v="1"/>
            <x v="2"/>
            <x v="3"/>
            <x v="4"/>
            <x v="5"/>
            <x v="6"/>
            <x v="7"/>
            <x v="17"/>
            <x v="18"/>
            <x v="19"/>
            <x v="20"/>
            <x v="23"/>
            <x v="24"/>
            <x v="25"/>
            <x v="31"/>
            <x v="32"/>
            <x v="33"/>
            <x v="34"/>
            <x v="37"/>
            <x v="38"/>
            <x v="39"/>
            <x v="40"/>
            <x v="41"/>
            <x v="42"/>
            <x v="43"/>
            <x v="44"/>
            <x v="46"/>
            <x v="47"/>
            <x v="48"/>
            <x v="49"/>
            <x v="50"/>
          </reference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20" count="0"/>
        </references>
      </pivotArea>
    </format>
    <format dxfId="22">
      <pivotArea dataOnly="0" labelOnly="1" outline="0" fieldPosition="0">
        <references count="1">
          <reference field="20" count="0" defaultSubtotal="1"/>
        </references>
      </pivotArea>
    </format>
    <format dxfId="21">
      <pivotArea dataOnly="0" labelOnly="1" grandCol="1" outline="0" fieldPosition="0"/>
    </format>
    <format dxfId="20">
      <pivotArea dataOnly="0" labelOnly="1" outline="0" fieldPosition="0">
        <references count="2">
          <reference field="1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0" count="1" selected="0">
            <x v="2"/>
          </reference>
        </references>
      </pivotArea>
    </format>
    <format dxfId="19">
      <pivotArea dataOnly="0" labelOnly="1" outline="0" fieldPosition="0">
        <references count="2">
          <reference field="18" count="2">
            <x v="1"/>
            <x v="2"/>
          </reference>
          <reference field="20" count="1" selected="0">
            <x v="4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type="origin" dataOnly="0" labelOnly="1" outline="0" fieldPosition="0"/>
    </format>
    <format dxfId="15">
      <pivotArea field="20" type="button" dataOnly="0" labelOnly="1" outline="0" axis="axisCol" fieldPosition="0"/>
    </format>
    <format dxfId="14">
      <pivotArea field="18" type="button" dataOnly="0" labelOnly="1" outline="0" axis="axisCol" fieldPosition="1"/>
    </format>
    <format dxfId="13">
      <pivotArea type="topRight" dataOnly="0" labelOnly="1" outline="0" fieldPosition="0"/>
    </format>
    <format dxfId="12">
      <pivotArea field="2" type="button" dataOnly="0" labelOnly="1" outline="0" axis="axisRow" fieldPosition="0"/>
    </format>
    <format dxfId="11">
      <pivotArea dataOnly="0" labelOnly="1" fieldPosition="0">
        <references count="1">
          <reference field="2" count="32">
            <x v="0"/>
            <x v="1"/>
            <x v="2"/>
            <x v="3"/>
            <x v="4"/>
            <x v="5"/>
            <x v="6"/>
            <x v="7"/>
            <x v="17"/>
            <x v="18"/>
            <x v="19"/>
            <x v="20"/>
            <x v="23"/>
            <x v="24"/>
            <x v="25"/>
            <x v="31"/>
            <x v="32"/>
            <x v="33"/>
            <x v="34"/>
            <x v="37"/>
            <x v="38"/>
            <x v="39"/>
            <x v="40"/>
            <x v="41"/>
            <x v="42"/>
            <x v="43"/>
            <x v="44"/>
            <x v="46"/>
            <x v="47"/>
            <x v="48"/>
            <x v="49"/>
            <x v="50"/>
          </reference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20" count="0"/>
        </references>
      </pivotArea>
    </format>
    <format dxfId="8">
      <pivotArea dataOnly="0" labelOnly="1" outline="0" fieldPosition="0">
        <references count="1">
          <reference field="20" count="0" defaultSubtotal="1"/>
        </references>
      </pivotArea>
    </format>
    <format dxfId="7">
      <pivotArea dataOnly="0" labelOnly="1" grandCol="1" outline="0" fieldPosition="0"/>
    </format>
    <format dxfId="6">
      <pivotArea dataOnly="0" labelOnly="1" outline="0" fieldPosition="0">
        <references count="2">
          <reference field="1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0" count="1" selected="0">
            <x v="2"/>
          </reference>
        </references>
      </pivotArea>
    </format>
    <format dxfId="5">
      <pivotArea dataOnly="0" labelOnly="1" outline="0" fieldPosition="0">
        <references count="2">
          <reference field="18" count="2">
            <x v="1"/>
            <x v="2"/>
          </reference>
          <reference field="20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BBD2-7D7B-401A-A547-916029EAF339}">
  <dimension ref="B2:L50"/>
  <sheetViews>
    <sheetView zoomScale="130" zoomScaleNormal="130" workbookViewId="0">
      <selection activeCell="K14" sqref="K14"/>
    </sheetView>
  </sheetViews>
  <sheetFormatPr baseColWidth="10" defaultColWidth="11.44140625" defaultRowHeight="14.4" x14ac:dyDescent="0.3"/>
  <cols>
    <col min="1" max="2" width="11.44140625" style="1"/>
    <col min="3" max="3" width="18" style="1" bestFit="1" customWidth="1"/>
    <col min="4" max="12" width="14.6640625" style="1" customWidth="1"/>
    <col min="13" max="16384" width="11.44140625" style="1"/>
  </cols>
  <sheetData>
    <row r="2" spans="3:12" ht="21" x14ac:dyDescent="0.3">
      <c r="C2" s="6" t="s">
        <v>0</v>
      </c>
      <c r="D2" s="50" t="s">
        <v>1</v>
      </c>
      <c r="E2" s="51"/>
      <c r="F2" s="51"/>
      <c r="G2" s="52"/>
      <c r="H2" s="53" t="s">
        <v>2</v>
      </c>
      <c r="I2" s="50"/>
      <c r="J2" s="50"/>
      <c r="K2" s="51"/>
      <c r="L2" s="52"/>
    </row>
    <row r="3" spans="3:12" ht="28.5" customHeight="1" x14ac:dyDescent="0.3">
      <c r="C3" s="13" t="s">
        <v>3</v>
      </c>
      <c r="D3" s="21" t="s">
        <v>4</v>
      </c>
      <c r="E3" s="9" t="s">
        <v>5</v>
      </c>
      <c r="F3" s="3" t="s">
        <v>6</v>
      </c>
      <c r="G3" s="11" t="s">
        <v>7</v>
      </c>
      <c r="H3" s="7" t="s">
        <v>8</v>
      </c>
      <c r="I3" s="4" t="s">
        <v>9</v>
      </c>
      <c r="J3" s="4" t="s">
        <v>10</v>
      </c>
      <c r="K3" s="9" t="s">
        <v>11</v>
      </c>
      <c r="L3" s="29" t="s">
        <v>12</v>
      </c>
    </row>
    <row r="4" spans="3:12" x14ac:dyDescent="0.3">
      <c r="C4" s="14">
        <v>5349000</v>
      </c>
      <c r="D4" s="22">
        <v>559</v>
      </c>
      <c r="E4" s="16">
        <v>755</v>
      </c>
      <c r="F4" s="2">
        <v>17694</v>
      </c>
      <c r="G4" s="12">
        <v>3817</v>
      </c>
      <c r="H4" s="8">
        <f>16342</f>
        <v>16342</v>
      </c>
      <c r="I4" s="5">
        <v>2318</v>
      </c>
      <c r="J4" s="5">
        <v>894</v>
      </c>
      <c r="K4" s="10">
        <v>717</v>
      </c>
      <c r="L4" s="30">
        <v>2208</v>
      </c>
    </row>
    <row r="5" spans="3:12" x14ac:dyDescent="0.3">
      <c r="C5" s="14">
        <v>9448000</v>
      </c>
      <c r="D5" s="22">
        <v>-559</v>
      </c>
      <c r="E5" s="16">
        <v>374</v>
      </c>
      <c r="F5" s="2">
        <v>2750</v>
      </c>
      <c r="G5" s="12">
        <v>-2800</v>
      </c>
      <c r="H5" s="8">
        <f>4066-540</f>
        <v>3526</v>
      </c>
      <c r="I5" s="5">
        <v>9975</v>
      </c>
      <c r="J5" s="5"/>
      <c r="K5" s="10">
        <f>3349-540</f>
        <v>2809</v>
      </c>
      <c r="L5" s="30">
        <f>495+13.39</f>
        <v>508.39</v>
      </c>
    </row>
    <row r="6" spans="3:12" x14ac:dyDescent="0.3">
      <c r="C6" s="14">
        <v>-2700000</v>
      </c>
      <c r="D6" s="22"/>
      <c r="E6" s="16">
        <v>-1129</v>
      </c>
      <c r="F6" s="2">
        <v>1129</v>
      </c>
      <c r="G6" s="12">
        <v>-225</v>
      </c>
      <c r="H6" s="8">
        <v>7137</v>
      </c>
      <c r="I6" s="18">
        <v>-50</v>
      </c>
      <c r="J6" s="5"/>
      <c r="K6" s="15">
        <f>-4066+540</f>
        <v>-3526</v>
      </c>
      <c r="L6" s="30">
        <v>-2318</v>
      </c>
    </row>
    <row r="7" spans="3:12" x14ac:dyDescent="0.3">
      <c r="C7" s="14">
        <v>-1045000</v>
      </c>
      <c r="D7" s="22"/>
      <c r="E7" s="16"/>
      <c r="F7" s="2">
        <v>559</v>
      </c>
      <c r="G7" s="12">
        <v>-55</v>
      </c>
      <c r="H7" s="17">
        <v>-324</v>
      </c>
      <c r="I7" s="18">
        <v>-50</v>
      </c>
      <c r="J7" s="5"/>
      <c r="K7" s="10"/>
      <c r="L7" s="30">
        <v>-398</v>
      </c>
    </row>
    <row r="8" spans="3:12" x14ac:dyDescent="0.3">
      <c r="C8" s="14">
        <v>-3023000</v>
      </c>
      <c r="D8" s="22"/>
      <c r="E8" s="16"/>
      <c r="F8" s="15">
        <v>-66</v>
      </c>
      <c r="G8" s="12">
        <v>-405</v>
      </c>
      <c r="H8" s="17">
        <v>-62</v>
      </c>
      <c r="I8" s="5"/>
      <c r="J8" s="5"/>
      <c r="K8" s="10"/>
      <c r="L8" s="30"/>
    </row>
    <row r="9" spans="3:12" x14ac:dyDescent="0.3">
      <c r="C9" s="14">
        <v>-2456000</v>
      </c>
      <c r="D9" s="22"/>
      <c r="E9" s="16"/>
      <c r="F9" s="15">
        <v>-506</v>
      </c>
      <c r="G9" s="12">
        <v>-62</v>
      </c>
      <c r="H9" s="17">
        <v>-155</v>
      </c>
      <c r="I9" s="5"/>
      <c r="J9" s="5"/>
      <c r="K9" s="10"/>
      <c r="L9" s="30"/>
    </row>
    <row r="10" spans="3:12" x14ac:dyDescent="0.3">
      <c r="C10" s="14">
        <v>-2362000</v>
      </c>
      <c r="D10" s="22"/>
      <c r="E10" s="16"/>
      <c r="F10" s="27">
        <v>-500</v>
      </c>
      <c r="G10" s="28">
        <v>-270</v>
      </c>
      <c r="H10" s="17">
        <f>-25-20</f>
        <v>-45</v>
      </c>
      <c r="I10" s="5"/>
      <c r="J10" s="5"/>
      <c r="K10" s="10"/>
      <c r="L10" s="30"/>
    </row>
    <row r="11" spans="3:12" x14ac:dyDescent="0.3">
      <c r="C11" s="14">
        <v>-750000</v>
      </c>
      <c r="D11" s="22"/>
      <c r="E11" s="16"/>
      <c r="F11" s="27">
        <v>-79</v>
      </c>
      <c r="G11" s="12"/>
      <c r="H11" s="17">
        <v>-15</v>
      </c>
      <c r="I11" s="5"/>
      <c r="J11" s="5"/>
      <c r="K11" s="10"/>
      <c r="L11" s="30"/>
    </row>
    <row r="12" spans="3:12" x14ac:dyDescent="0.3">
      <c r="C12" s="14">
        <v>-1768000</v>
      </c>
      <c r="D12" s="22"/>
      <c r="E12" s="16"/>
      <c r="F12" s="27">
        <v>-659</v>
      </c>
      <c r="G12" s="12"/>
      <c r="H12" s="19">
        <v>3083</v>
      </c>
      <c r="I12" s="2"/>
      <c r="J12" s="5"/>
      <c r="K12" s="10"/>
      <c r="L12" s="30"/>
    </row>
    <row r="13" spans="3:12" x14ac:dyDescent="0.3">
      <c r="C13" s="14">
        <v>-693000</v>
      </c>
      <c r="D13" s="22"/>
      <c r="E13" s="16"/>
      <c r="F13" s="15">
        <v>-183</v>
      </c>
      <c r="G13" s="12"/>
      <c r="I13" s="2"/>
      <c r="J13" s="5"/>
      <c r="K13" s="10"/>
      <c r="L13" s="30"/>
    </row>
    <row r="14" spans="3:12" x14ac:dyDescent="0.3">
      <c r="C14" s="14">
        <v>16500000</v>
      </c>
      <c r="D14" s="22"/>
      <c r="E14" s="10"/>
      <c r="F14" s="15">
        <v>-705</v>
      </c>
      <c r="G14" s="12"/>
      <c r="H14" s="20"/>
      <c r="I14" s="2"/>
      <c r="J14" s="5"/>
      <c r="K14" s="10"/>
      <c r="L14" s="30"/>
    </row>
    <row r="15" spans="3:12" x14ac:dyDescent="0.3">
      <c r="C15" s="14">
        <f>-(372+79)*4000</f>
        <v>-1804000</v>
      </c>
      <c r="D15" s="22"/>
      <c r="E15" s="10"/>
      <c r="F15" s="15">
        <v>-65</v>
      </c>
      <c r="G15" s="12"/>
      <c r="H15" s="8"/>
      <c r="I15" s="2"/>
      <c r="J15" s="5"/>
      <c r="K15" s="10"/>
      <c r="L15" s="30"/>
    </row>
    <row r="16" spans="3:12" x14ac:dyDescent="0.3">
      <c r="C16" s="14">
        <f>-(770+79)*4000</f>
        <v>-3396000</v>
      </c>
      <c r="D16" s="22"/>
      <c r="E16" s="10"/>
      <c r="F16" s="2"/>
      <c r="G16" s="12"/>
      <c r="H16" s="8"/>
      <c r="I16" s="5"/>
      <c r="J16" s="5"/>
      <c r="K16" s="10"/>
      <c r="L16" s="30"/>
    </row>
    <row r="17" spans="2:12" x14ac:dyDescent="0.3">
      <c r="C17" s="14">
        <f>-(770+79)*4000</f>
        <v>-3396000</v>
      </c>
      <c r="D17" s="22"/>
      <c r="E17" s="10"/>
      <c r="F17" s="2"/>
      <c r="G17" s="12"/>
      <c r="H17" s="8"/>
      <c r="I17" s="5"/>
      <c r="J17" s="5"/>
      <c r="K17" s="10"/>
      <c r="L17" s="30"/>
    </row>
    <row r="18" spans="2:12" x14ac:dyDescent="0.3">
      <c r="C18" s="14">
        <v>-7904000</v>
      </c>
      <c r="D18" s="22"/>
      <c r="E18" s="10"/>
      <c r="G18" s="12"/>
      <c r="H18" s="8"/>
      <c r="I18" s="5"/>
      <c r="J18" s="5"/>
      <c r="K18" s="10"/>
      <c r="L18" s="30"/>
    </row>
    <row r="19" spans="2:12" x14ac:dyDescent="0.3">
      <c r="C19" s="33"/>
      <c r="D19" s="22"/>
      <c r="E19" s="10"/>
      <c r="F19" s="2"/>
      <c r="G19" s="12"/>
      <c r="H19" s="8"/>
      <c r="I19" s="5"/>
      <c r="J19" s="5"/>
      <c r="K19" s="10"/>
      <c r="L19" s="30"/>
    </row>
    <row r="20" spans="2:12" x14ac:dyDescent="0.3">
      <c r="C20" s="14"/>
      <c r="D20" s="22"/>
      <c r="E20" s="10"/>
      <c r="F20" s="2"/>
      <c r="G20" s="12"/>
      <c r="H20" s="8"/>
      <c r="I20" s="5"/>
      <c r="J20" s="5"/>
      <c r="K20" s="10"/>
      <c r="L20" s="30"/>
    </row>
    <row r="21" spans="2:12" x14ac:dyDescent="0.3">
      <c r="C21" s="14"/>
      <c r="D21" s="22"/>
      <c r="E21" s="10"/>
      <c r="F21" s="2"/>
      <c r="G21" s="12"/>
      <c r="H21" s="8"/>
      <c r="I21" s="5"/>
      <c r="J21" s="5"/>
      <c r="K21" s="10"/>
      <c r="L21" s="30"/>
    </row>
    <row r="22" spans="2:12" x14ac:dyDescent="0.3">
      <c r="C22" s="14"/>
      <c r="D22" s="22"/>
      <c r="E22" s="10"/>
      <c r="F22" s="2"/>
      <c r="G22" s="12"/>
      <c r="H22" s="8"/>
      <c r="I22" s="5"/>
      <c r="J22" s="5"/>
      <c r="K22" s="10"/>
      <c r="L22" s="30"/>
    </row>
    <row r="23" spans="2:12" x14ac:dyDescent="0.3">
      <c r="C23" s="14"/>
      <c r="D23" s="22"/>
      <c r="E23" s="10"/>
      <c r="F23" s="2"/>
      <c r="G23" s="12"/>
      <c r="H23" s="8"/>
      <c r="I23" s="5"/>
      <c r="J23" s="5"/>
      <c r="K23" s="10"/>
      <c r="L23" s="30"/>
    </row>
    <row r="24" spans="2:12" ht="18" x14ac:dyDescent="0.3">
      <c r="B24" s="25" t="s">
        <v>13</v>
      </c>
      <c r="C24" s="31">
        <f t="shared" ref="C24:L24" si="0">SUM(C4:C23)</f>
        <v>0</v>
      </c>
      <c r="D24" s="26">
        <f t="shared" si="0"/>
        <v>0</v>
      </c>
      <c r="E24" s="24">
        <f t="shared" si="0"/>
        <v>0</v>
      </c>
      <c r="F24" s="24">
        <f t="shared" si="0"/>
        <v>19369</v>
      </c>
      <c r="G24" s="24">
        <f t="shared" si="0"/>
        <v>0</v>
      </c>
      <c r="H24" s="24">
        <f t="shared" si="0"/>
        <v>29487</v>
      </c>
      <c r="I24" s="24">
        <f>SUM(I4:I23)</f>
        <v>12193</v>
      </c>
      <c r="J24" s="24">
        <f>SUM(J4:J23)</f>
        <v>894</v>
      </c>
      <c r="K24" s="24">
        <f t="shared" si="0"/>
        <v>0</v>
      </c>
      <c r="L24" s="24">
        <f t="shared" si="0"/>
        <v>0.38999999999987267</v>
      </c>
    </row>
    <row r="25" spans="2:12" ht="18" x14ac:dyDescent="0.3">
      <c r="B25" s="25" t="s">
        <v>14</v>
      </c>
      <c r="C25" s="31">
        <v>16500000</v>
      </c>
      <c r="D25" s="26"/>
      <c r="E25" s="24"/>
      <c r="F25" s="24">
        <v>18881</v>
      </c>
      <c r="G25" s="24"/>
      <c r="H25" s="24">
        <v>29275</v>
      </c>
      <c r="I25" s="24">
        <v>12083</v>
      </c>
      <c r="J25" s="24">
        <v>894</v>
      </c>
      <c r="K25" s="24"/>
      <c r="L25" s="24"/>
    </row>
    <row r="26" spans="2:12" ht="18.600000000000001" thickBot="1" x14ac:dyDescent="0.35">
      <c r="B26" s="25" t="s">
        <v>15</v>
      </c>
      <c r="C26" s="32">
        <f>C25-C24</f>
        <v>16500000</v>
      </c>
      <c r="D26" s="26">
        <f t="shared" ref="D26:L26" si="1">D25-D24</f>
        <v>0</v>
      </c>
      <c r="E26" s="24">
        <f t="shared" si="1"/>
        <v>0</v>
      </c>
      <c r="F26" s="24">
        <f t="shared" si="1"/>
        <v>-488</v>
      </c>
      <c r="G26" s="24">
        <f t="shared" si="1"/>
        <v>0</v>
      </c>
      <c r="H26" s="24">
        <f t="shared" si="1"/>
        <v>-212</v>
      </c>
      <c r="I26" s="24">
        <f t="shared" si="1"/>
        <v>-110</v>
      </c>
      <c r="J26" s="24">
        <f t="shared" si="1"/>
        <v>0</v>
      </c>
      <c r="K26" s="24">
        <f t="shared" si="1"/>
        <v>0</v>
      </c>
      <c r="L26" s="24">
        <f t="shared" si="1"/>
        <v>-0.38999999999987267</v>
      </c>
    </row>
    <row r="27" spans="2:12" ht="15" customHeight="1" thickBot="1" x14ac:dyDescent="0.35">
      <c r="C27" s="23">
        <f>C24/4000</f>
        <v>0</v>
      </c>
      <c r="D27"/>
      <c r="E27"/>
      <c r="F27" s="54">
        <f>SUM(D25:L25)+C27</f>
        <v>61133</v>
      </c>
      <c r="G27" s="55"/>
      <c r="H27" s="55"/>
      <c r="I27" s="55"/>
      <c r="J27" s="56"/>
      <c r="K27"/>
      <c r="L27"/>
    </row>
    <row r="28" spans="2:12" ht="15" customHeight="1" x14ac:dyDescent="0.3">
      <c r="C28"/>
      <c r="D28"/>
      <c r="E28"/>
      <c r="F28" s="57"/>
      <c r="G28" s="58"/>
      <c r="H28" s="58"/>
      <c r="I28" s="58"/>
      <c r="J28" s="59"/>
      <c r="K28"/>
      <c r="L28"/>
    </row>
    <row r="50" spans="8:9" x14ac:dyDescent="0.3">
      <c r="H50" s="60"/>
      <c r="I50" s="60"/>
    </row>
  </sheetData>
  <mergeCells count="4">
    <mergeCell ref="D2:G2"/>
    <mergeCell ref="H2:L2"/>
    <mergeCell ref="F27:J28"/>
    <mergeCell ref="H50:I50"/>
  </mergeCells>
  <conditionalFormatting sqref="C4:L7 F8:L9 C8:E12 H10:L10 G11:L12 C13:G14 I13:L14 C15:L17 C18:E18 G18:L18 D19:L19 C20:L23">
    <cfRule type="cellIs" dxfId="4" priority="2" operator="lessThan">
      <formula>0</formula>
    </cfRule>
  </conditionalFormatting>
  <conditionalFormatting sqref="C24:L26">
    <cfRule type="cellIs" dxfId="3" priority="3" operator="between">
      <formula>-1</formula>
      <formula>1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3A92-B9CF-4497-97DC-987E7815AFB2}">
  <dimension ref="B1:P2552"/>
  <sheetViews>
    <sheetView tabSelected="1" topLeftCell="A2" zoomScale="80" zoomScaleNormal="80" workbookViewId="0">
      <pane ySplit="4" topLeftCell="A6" activePane="bottomLeft" state="frozen"/>
      <selection activeCell="A2" sqref="A2"/>
      <selection pane="bottomLeft" activeCell="E24" sqref="E24"/>
    </sheetView>
  </sheetViews>
  <sheetFormatPr baseColWidth="10" defaultColWidth="11.44140625" defaultRowHeight="0" customHeight="1" zeroHeight="1" x14ac:dyDescent="0.3"/>
  <cols>
    <col min="1" max="1" width="5" style="1" customWidth="1"/>
    <col min="2" max="2" width="25.33203125" style="39" customWidth="1"/>
    <col min="3" max="3" width="16.88671875" style="39" customWidth="1"/>
    <col min="4" max="4" width="23.88671875" style="36" bestFit="1" customWidth="1"/>
    <col min="5" max="5" width="34.6640625" style="36" customWidth="1"/>
    <col min="6" max="6" width="45.21875" style="36" bestFit="1" customWidth="1"/>
    <col min="7" max="7" width="11.88671875" style="42" customWidth="1"/>
    <col min="8" max="8" width="16.88671875" style="42" customWidth="1"/>
    <col min="9" max="9" width="12.5546875" style="42" customWidth="1"/>
    <col min="10" max="10" width="17.5546875" style="42" bestFit="1" customWidth="1"/>
    <col min="11" max="11" width="11.5546875" style="42" customWidth="1"/>
    <col min="12" max="12" width="11.88671875" style="42" customWidth="1"/>
    <col min="13" max="13" width="11" style="42" customWidth="1"/>
    <col min="14" max="14" width="11.6640625" style="42" customWidth="1"/>
    <col min="15" max="15" width="14.88671875" style="42" bestFit="1" customWidth="1"/>
    <col min="16" max="16" width="11.5546875" style="1" bestFit="1" customWidth="1"/>
    <col min="17" max="16384" width="11.44140625" style="1"/>
  </cols>
  <sheetData>
    <row r="1" spans="2:16" ht="14.4" x14ac:dyDescent="0.3">
      <c r="B1" s="1"/>
      <c r="C1" s="1"/>
      <c r="D1" s="1"/>
      <c r="E1" s="1"/>
      <c r="F1" s="1"/>
      <c r="G1" s="41"/>
      <c r="H1" s="41"/>
      <c r="I1" s="41"/>
      <c r="J1" s="41"/>
      <c r="K1" s="41"/>
      <c r="L1" s="41"/>
      <c r="M1" s="41"/>
      <c r="N1" s="41"/>
      <c r="O1" s="41"/>
    </row>
    <row r="2" spans="2:16" ht="14.4" x14ac:dyDescent="0.3">
      <c r="B2" s="35"/>
      <c r="C2" s="35"/>
      <c r="D2" s="1"/>
      <c r="E2" s="1"/>
      <c r="F2" s="36" t="s">
        <v>15</v>
      </c>
      <c r="H2" s="42">
        <f t="shared" ref="H2:P2" si="0">H3-H4</f>
        <v>-7312</v>
      </c>
      <c r="I2" s="42">
        <f t="shared" si="0"/>
        <v>0</v>
      </c>
      <c r="J2" s="42">
        <f t="shared" si="0"/>
        <v>0</v>
      </c>
      <c r="K2" s="42">
        <f t="shared" si="0"/>
        <v>-257.7100000000064</v>
      </c>
      <c r="L2" s="42">
        <f t="shared" si="0"/>
        <v>7807.68780487802</v>
      </c>
      <c r="M2" s="42">
        <f t="shared" si="0"/>
        <v>-0.19999999999998863</v>
      </c>
      <c r="N2" s="42">
        <f t="shared" si="0"/>
        <v>0</v>
      </c>
      <c r="O2" s="42">
        <f t="shared" si="0"/>
        <v>-5.43000000000211</v>
      </c>
      <c r="P2" s="37">
        <f t="shared" si="0"/>
        <v>232.3478048780089</v>
      </c>
    </row>
    <row r="3" spans="2:16" ht="14.4" x14ac:dyDescent="0.3">
      <c r="B3" s="35"/>
      <c r="C3" s="35"/>
      <c r="D3" s="1"/>
      <c r="E3" s="1"/>
      <c r="F3" s="36" t="s">
        <v>16</v>
      </c>
      <c r="I3" s="42">
        <v>0</v>
      </c>
      <c r="J3" s="42">
        <v>0</v>
      </c>
      <c r="K3" s="42">
        <v>22000</v>
      </c>
      <c r="L3" s="42">
        <v>60721</v>
      </c>
      <c r="M3" s="42">
        <v>6</v>
      </c>
      <c r="N3" s="42">
        <v>0</v>
      </c>
      <c r="O3" s="42">
        <v>52</v>
      </c>
      <c r="P3" s="38">
        <f>SUM(I3:O3)</f>
        <v>82779</v>
      </c>
    </row>
    <row r="4" spans="2:16" ht="14.4" x14ac:dyDescent="0.3">
      <c r="B4" s="35"/>
      <c r="C4" s="35"/>
      <c r="D4" s="1"/>
      <c r="E4" s="1"/>
      <c r="F4" s="61" t="s">
        <v>17</v>
      </c>
      <c r="G4" s="43"/>
      <c r="H4" s="43">
        <f>SUM(H6:H1048576)</f>
        <v>7312</v>
      </c>
      <c r="I4" s="43">
        <f>SUM(I6:I1048576)</f>
        <v>0</v>
      </c>
      <c r="J4" s="43">
        <f>SUM(J6:J1048576)</f>
        <v>0</v>
      </c>
      <c r="K4" s="43">
        <f>SUM(K6:K1048576)</f>
        <v>22257.710000000006</v>
      </c>
      <c r="L4" s="43">
        <f>SUM(L6:L1048576)</f>
        <v>52913.31219512198</v>
      </c>
      <c r="M4" s="43">
        <f>SUM(M6:M1048576)</f>
        <v>6.1999999999999886</v>
      </c>
      <c r="N4" s="43">
        <f>SUM(N6:N1048576)</f>
        <v>0</v>
      </c>
      <c r="O4" s="43">
        <f>SUM(O6:O1048576)</f>
        <v>57.43000000000211</v>
      </c>
      <c r="P4" s="38">
        <f>SUM(H4:O4)</f>
        <v>82546.652195121991</v>
      </c>
    </row>
    <row r="5" spans="2:16" s="34" customFormat="1" ht="28.8" x14ac:dyDescent="0.3">
      <c r="B5" s="40" t="s">
        <v>18</v>
      </c>
      <c r="C5" s="40" t="s">
        <v>549</v>
      </c>
      <c r="D5" s="3" t="s">
        <v>19</v>
      </c>
      <c r="E5" s="3" t="s">
        <v>20</v>
      </c>
      <c r="F5" s="3" t="s">
        <v>21</v>
      </c>
      <c r="G5" s="44" t="s">
        <v>556</v>
      </c>
      <c r="H5" s="44" t="s">
        <v>22</v>
      </c>
      <c r="I5" s="44" t="s">
        <v>23</v>
      </c>
      <c r="J5" s="44" t="s">
        <v>3</v>
      </c>
      <c r="K5" s="44" t="s">
        <v>11</v>
      </c>
      <c r="L5" s="44" t="s">
        <v>24</v>
      </c>
      <c r="M5" s="44" t="s">
        <v>25</v>
      </c>
      <c r="N5" s="44" t="s">
        <v>26</v>
      </c>
      <c r="O5" s="44" t="s">
        <v>6</v>
      </c>
    </row>
    <row r="6" spans="2:16" ht="14.4" x14ac:dyDescent="0.3">
      <c r="B6" s="39">
        <v>45231</v>
      </c>
      <c r="D6" s="36" t="s">
        <v>34</v>
      </c>
      <c r="F6" s="36" t="s">
        <v>51</v>
      </c>
      <c r="J6" s="42">
        <v>-2700000</v>
      </c>
    </row>
    <row r="7" spans="2:16" ht="14.4" x14ac:dyDescent="0.3">
      <c r="B7" s="39">
        <v>45231</v>
      </c>
      <c r="D7" s="36" t="s">
        <v>27</v>
      </c>
      <c r="F7" s="36" t="s">
        <v>28</v>
      </c>
      <c r="L7" s="42">
        <v>16342</v>
      </c>
    </row>
    <row r="8" spans="2:16" ht="14.4" x14ac:dyDescent="0.3">
      <c r="B8" s="39">
        <v>45231</v>
      </c>
      <c r="D8" s="36" t="s">
        <v>27</v>
      </c>
      <c r="F8" s="36" t="s">
        <v>28</v>
      </c>
      <c r="O8" s="42">
        <v>17694</v>
      </c>
    </row>
    <row r="9" spans="2:16" ht="14.4" x14ac:dyDescent="0.3">
      <c r="B9" s="39">
        <v>45231</v>
      </c>
      <c r="D9" s="36" t="s">
        <v>57</v>
      </c>
      <c r="F9" s="36" t="s">
        <v>29</v>
      </c>
      <c r="L9" s="42">
        <v>-15</v>
      </c>
    </row>
    <row r="10" spans="2:16" ht="14.4" x14ac:dyDescent="0.3">
      <c r="B10" s="39">
        <v>45231</v>
      </c>
      <c r="D10" s="36" t="s">
        <v>57</v>
      </c>
      <c r="F10" s="36" t="s">
        <v>30</v>
      </c>
      <c r="L10" s="42">
        <v>-155</v>
      </c>
    </row>
    <row r="11" spans="2:16" ht="14.4" x14ac:dyDescent="0.3">
      <c r="B11" s="39">
        <v>45231</v>
      </c>
      <c r="D11" s="36" t="s">
        <v>27</v>
      </c>
      <c r="F11" s="36" t="s">
        <v>31</v>
      </c>
      <c r="O11" s="42">
        <v>2750</v>
      </c>
    </row>
    <row r="12" spans="2:16" ht="14.4" x14ac:dyDescent="0.3">
      <c r="B12" s="39">
        <v>45231</v>
      </c>
      <c r="D12" s="36" t="s">
        <v>57</v>
      </c>
      <c r="F12" s="36" t="s">
        <v>32</v>
      </c>
      <c r="L12" s="42">
        <v>-62</v>
      </c>
    </row>
    <row r="13" spans="2:16" ht="14.4" x14ac:dyDescent="0.3">
      <c r="B13" s="39">
        <v>45231</v>
      </c>
      <c r="D13" s="36" t="s">
        <v>57</v>
      </c>
      <c r="F13" s="36" t="s">
        <v>33</v>
      </c>
      <c r="L13" s="42">
        <v>-45</v>
      </c>
    </row>
    <row r="14" spans="2:16" ht="14.4" x14ac:dyDescent="0.3">
      <c r="B14" s="39">
        <v>45231</v>
      </c>
      <c r="D14" s="36" t="s">
        <v>34</v>
      </c>
      <c r="F14" s="36" t="s">
        <v>35</v>
      </c>
      <c r="J14" s="42">
        <v>-1045000</v>
      </c>
    </row>
    <row r="15" spans="2:16" ht="14.4" x14ac:dyDescent="0.3">
      <c r="B15" s="39">
        <v>45231</v>
      </c>
      <c r="D15" s="36" t="s">
        <v>36</v>
      </c>
      <c r="F15" s="36" t="s">
        <v>37</v>
      </c>
      <c r="J15" s="42">
        <v>-3023000</v>
      </c>
    </row>
    <row r="16" spans="2:16" ht="14.4" x14ac:dyDescent="0.3">
      <c r="B16" s="39">
        <v>45231</v>
      </c>
      <c r="D16" s="36" t="s">
        <v>38</v>
      </c>
      <c r="F16" s="36" t="s">
        <v>39</v>
      </c>
      <c r="O16" s="42">
        <v>-659</v>
      </c>
    </row>
    <row r="17" spans="2:15" ht="14.4" x14ac:dyDescent="0.3">
      <c r="B17" s="39">
        <v>45231</v>
      </c>
      <c r="D17" s="36" t="s">
        <v>27</v>
      </c>
      <c r="F17" s="36" t="s">
        <v>40</v>
      </c>
      <c r="O17" s="42">
        <v>-79</v>
      </c>
    </row>
    <row r="18" spans="2:15" ht="14.4" x14ac:dyDescent="0.3">
      <c r="B18" s="39">
        <v>45231</v>
      </c>
      <c r="D18" s="36" t="s">
        <v>36</v>
      </c>
      <c r="F18" s="36" t="s">
        <v>41</v>
      </c>
      <c r="J18" s="42">
        <v>-2362000</v>
      </c>
    </row>
    <row r="19" spans="2:15" ht="14.4" x14ac:dyDescent="0.3">
      <c r="B19" s="39">
        <v>45231</v>
      </c>
      <c r="D19" s="36" t="s">
        <v>36</v>
      </c>
      <c r="F19" s="36" t="s">
        <v>42</v>
      </c>
      <c r="J19" s="42">
        <v>-2456000</v>
      </c>
    </row>
    <row r="20" spans="2:15" ht="14.4" x14ac:dyDescent="0.3">
      <c r="B20" s="39">
        <v>45231</v>
      </c>
      <c r="D20" s="36" t="s">
        <v>36</v>
      </c>
      <c r="F20" s="36" t="s">
        <v>43</v>
      </c>
      <c r="J20" s="42">
        <v>9448000</v>
      </c>
    </row>
    <row r="21" spans="2:15" ht="14.4" x14ac:dyDescent="0.3">
      <c r="B21" s="39">
        <v>45231</v>
      </c>
      <c r="D21" s="36" t="s">
        <v>34</v>
      </c>
      <c r="F21" s="36" t="s">
        <v>44</v>
      </c>
      <c r="J21" s="42">
        <v>5349000</v>
      </c>
    </row>
    <row r="22" spans="2:15" ht="14.4" x14ac:dyDescent="0.3">
      <c r="B22" s="39">
        <v>45231</v>
      </c>
      <c r="D22" s="36" t="s">
        <v>45</v>
      </c>
      <c r="F22" s="36" t="s">
        <v>46</v>
      </c>
      <c r="I22" s="42">
        <v>9975</v>
      </c>
    </row>
    <row r="23" spans="2:15" ht="14.4" x14ac:dyDescent="0.3">
      <c r="B23" s="39">
        <v>45231</v>
      </c>
      <c r="D23" s="36" t="s">
        <v>45</v>
      </c>
      <c r="F23" s="36" t="s">
        <v>46</v>
      </c>
      <c r="M23" s="42">
        <v>894</v>
      </c>
    </row>
    <row r="24" spans="2:15" ht="14.4" x14ac:dyDescent="0.3">
      <c r="B24" s="39">
        <v>45231</v>
      </c>
      <c r="D24" s="36" t="s">
        <v>47</v>
      </c>
      <c r="F24" s="36" t="s">
        <v>48</v>
      </c>
      <c r="O24" s="42">
        <v>559</v>
      </c>
    </row>
    <row r="25" spans="2:15" ht="14.4" x14ac:dyDescent="0.3">
      <c r="B25" s="39">
        <v>45231</v>
      </c>
      <c r="D25" s="36" t="s">
        <v>34</v>
      </c>
      <c r="F25" s="36" t="s">
        <v>49</v>
      </c>
      <c r="O25" s="42">
        <v>1129</v>
      </c>
    </row>
    <row r="26" spans="2:15" ht="14.4" x14ac:dyDescent="0.3">
      <c r="B26" s="39">
        <v>45231</v>
      </c>
      <c r="D26" s="36" t="s">
        <v>47</v>
      </c>
      <c r="F26" s="36" t="s">
        <v>50</v>
      </c>
      <c r="I26" s="42">
        <v>2318</v>
      </c>
    </row>
    <row r="27" spans="2:15" ht="14.4" x14ac:dyDescent="0.3">
      <c r="B27" s="39">
        <v>45261</v>
      </c>
      <c r="D27" s="36" t="s">
        <v>52</v>
      </c>
      <c r="F27" s="36" t="s">
        <v>537</v>
      </c>
      <c r="J27" s="42">
        <v>-1768000</v>
      </c>
    </row>
    <row r="28" spans="2:15" ht="14.4" x14ac:dyDescent="0.3">
      <c r="B28" s="39">
        <v>45261</v>
      </c>
      <c r="D28" s="36" t="s">
        <v>34</v>
      </c>
      <c r="F28" s="36" t="s">
        <v>53</v>
      </c>
      <c r="J28" s="42">
        <v>-750000</v>
      </c>
    </row>
    <row r="29" spans="2:15" ht="14.4" x14ac:dyDescent="0.3">
      <c r="B29" s="39">
        <v>45261</v>
      </c>
      <c r="D29" s="36" t="s">
        <v>34</v>
      </c>
      <c r="F29" s="36" t="s">
        <v>54</v>
      </c>
      <c r="J29" s="42">
        <v>-693000</v>
      </c>
    </row>
    <row r="30" spans="2:15" ht="14.4" x14ac:dyDescent="0.3">
      <c r="B30" s="39">
        <v>45261</v>
      </c>
      <c r="D30" s="36" t="s">
        <v>47</v>
      </c>
      <c r="F30" s="36" t="s">
        <v>55</v>
      </c>
      <c r="L30" s="42">
        <v>3526</v>
      </c>
    </row>
    <row r="31" spans="2:15" ht="14.4" x14ac:dyDescent="0.3">
      <c r="B31" s="39">
        <v>45261</v>
      </c>
      <c r="D31" s="36" t="s">
        <v>57</v>
      </c>
      <c r="F31" s="36" t="s">
        <v>56</v>
      </c>
      <c r="I31" s="42">
        <v>-50</v>
      </c>
    </row>
    <row r="32" spans="2:15" ht="14.4" x14ac:dyDescent="0.3">
      <c r="B32" s="39">
        <v>45264</v>
      </c>
      <c r="D32" s="36" t="s">
        <v>57</v>
      </c>
      <c r="E32" s="36" t="s">
        <v>58</v>
      </c>
      <c r="F32" s="36" t="s">
        <v>59</v>
      </c>
      <c r="I32" s="42">
        <v>-7752</v>
      </c>
      <c r="L32" s="42">
        <v>7752</v>
      </c>
      <c r="O32" s="42">
        <f>15965+57</f>
        <v>16022</v>
      </c>
    </row>
    <row r="33" spans="2:15" ht="14.4" x14ac:dyDescent="0.3">
      <c r="B33" s="39">
        <v>45267</v>
      </c>
      <c r="D33" s="36" t="s">
        <v>57</v>
      </c>
      <c r="E33" s="36" t="s">
        <v>58</v>
      </c>
      <c r="F33" s="36" t="s">
        <v>59</v>
      </c>
      <c r="L33" s="42">
        <v>-16216</v>
      </c>
    </row>
    <row r="34" spans="2:15" ht="14.4" x14ac:dyDescent="0.3">
      <c r="B34" s="39">
        <v>45273</v>
      </c>
      <c r="D34" s="36" t="s">
        <v>52</v>
      </c>
      <c r="F34" s="36" t="s">
        <v>60</v>
      </c>
      <c r="O34" s="42">
        <v>-66</v>
      </c>
    </row>
    <row r="35" spans="2:15" ht="14.4" x14ac:dyDescent="0.3">
      <c r="B35" s="39">
        <v>45280</v>
      </c>
      <c r="D35" s="36" t="s">
        <v>47</v>
      </c>
      <c r="F35" s="36" t="s">
        <v>55</v>
      </c>
      <c r="L35" s="42">
        <v>7137</v>
      </c>
    </row>
    <row r="36" spans="2:15" ht="14.4" x14ac:dyDescent="0.3">
      <c r="B36" s="39">
        <v>45281</v>
      </c>
      <c r="D36" s="36" t="s">
        <v>61</v>
      </c>
      <c r="F36" s="36" t="s">
        <v>62</v>
      </c>
      <c r="L36" s="42">
        <v>3083</v>
      </c>
    </row>
    <row r="37" spans="2:15" ht="14.4" x14ac:dyDescent="0.3">
      <c r="B37" s="39">
        <v>45286</v>
      </c>
      <c r="D37" s="36" t="s">
        <v>61</v>
      </c>
      <c r="F37" s="36" t="s">
        <v>63</v>
      </c>
      <c r="O37" s="42">
        <v>-500</v>
      </c>
    </row>
    <row r="38" spans="2:15" ht="14.4" x14ac:dyDescent="0.3">
      <c r="B38" s="39">
        <v>45286</v>
      </c>
      <c r="D38" s="36" t="s">
        <v>64</v>
      </c>
      <c r="F38" s="36" t="s">
        <v>65</v>
      </c>
      <c r="O38" s="42">
        <v>-506</v>
      </c>
    </row>
    <row r="39" spans="2:15" ht="14.4" x14ac:dyDescent="0.3">
      <c r="B39" s="39">
        <v>45292</v>
      </c>
      <c r="D39" s="36" t="s">
        <v>57</v>
      </c>
      <c r="F39" s="36" t="s">
        <v>66</v>
      </c>
      <c r="I39" s="42">
        <v>-50</v>
      </c>
    </row>
    <row r="40" spans="2:15" ht="14.4" x14ac:dyDescent="0.3">
      <c r="B40" s="39">
        <v>45297</v>
      </c>
      <c r="D40" s="36" t="s">
        <v>61</v>
      </c>
      <c r="F40" s="36" t="s">
        <v>67</v>
      </c>
      <c r="O40" s="42">
        <v>-183</v>
      </c>
    </row>
    <row r="41" spans="2:15" ht="14.4" x14ac:dyDescent="0.3">
      <c r="B41" s="39">
        <v>45301</v>
      </c>
      <c r="D41" s="36" t="s">
        <v>57</v>
      </c>
      <c r="F41" s="36" t="s">
        <v>68</v>
      </c>
      <c r="L41" s="42">
        <v>-21</v>
      </c>
    </row>
    <row r="42" spans="2:15" ht="14.4" x14ac:dyDescent="0.3">
      <c r="B42" s="39">
        <v>45301</v>
      </c>
      <c r="D42" s="36" t="s">
        <v>57</v>
      </c>
      <c r="F42" s="36" t="s">
        <v>69</v>
      </c>
      <c r="L42" s="42">
        <v>-11.55</v>
      </c>
    </row>
    <row r="43" spans="2:15" ht="14.4" x14ac:dyDescent="0.3">
      <c r="B43" s="39">
        <v>45304</v>
      </c>
      <c r="D43" s="36" t="s">
        <v>64</v>
      </c>
      <c r="F43" s="36" t="s">
        <v>70</v>
      </c>
      <c r="L43" s="42">
        <v>-18.41</v>
      </c>
    </row>
    <row r="44" spans="2:15" ht="14.4" x14ac:dyDescent="0.3">
      <c r="B44" s="39">
        <v>45304</v>
      </c>
      <c r="D44" s="36" t="s">
        <v>64</v>
      </c>
      <c r="F44" s="36" t="s">
        <v>70</v>
      </c>
      <c r="L44" s="42">
        <v>-3.39</v>
      </c>
    </row>
    <row r="45" spans="2:15" ht="14.4" x14ac:dyDescent="0.3">
      <c r="B45" s="39">
        <v>45304</v>
      </c>
      <c r="D45" s="36" t="s">
        <v>64</v>
      </c>
      <c r="F45" s="36" t="s">
        <v>71</v>
      </c>
      <c r="L45" s="42">
        <v>-20</v>
      </c>
    </row>
    <row r="46" spans="2:15" ht="14.4" x14ac:dyDescent="0.3">
      <c r="B46" s="39">
        <v>45305</v>
      </c>
      <c r="D46" s="36" t="s">
        <v>57</v>
      </c>
      <c r="F46" s="36" t="s">
        <v>72</v>
      </c>
      <c r="L46" s="42">
        <v>-20</v>
      </c>
    </row>
    <row r="47" spans="2:15" ht="14.4" x14ac:dyDescent="0.3">
      <c r="B47" s="39">
        <v>45305</v>
      </c>
      <c r="D47" s="36" t="s">
        <v>73</v>
      </c>
      <c r="F47" s="36" t="s">
        <v>74</v>
      </c>
      <c r="L47" s="42">
        <v>-10</v>
      </c>
    </row>
    <row r="48" spans="2:15" ht="14.4" x14ac:dyDescent="0.3">
      <c r="B48" s="39">
        <v>45305</v>
      </c>
      <c r="D48" s="36" t="s">
        <v>64</v>
      </c>
      <c r="F48" s="36" t="s">
        <v>75</v>
      </c>
      <c r="O48" s="42">
        <v>-705</v>
      </c>
    </row>
    <row r="49" spans="2:15" ht="14.4" x14ac:dyDescent="0.3">
      <c r="B49" s="39">
        <v>45305</v>
      </c>
      <c r="D49" s="36" t="s">
        <v>73</v>
      </c>
      <c r="F49" s="36" t="s">
        <v>76</v>
      </c>
      <c r="O49" s="42">
        <v>-65</v>
      </c>
    </row>
    <row r="50" spans="2:15" ht="14.4" x14ac:dyDescent="0.3">
      <c r="B50" s="39">
        <v>45305</v>
      </c>
      <c r="D50" s="36" t="s">
        <v>64</v>
      </c>
      <c r="F50" s="36" t="s">
        <v>77</v>
      </c>
      <c r="L50" s="42">
        <v>-25</v>
      </c>
    </row>
    <row r="51" spans="2:15" ht="14.4" x14ac:dyDescent="0.3">
      <c r="B51" s="39">
        <v>45306</v>
      </c>
      <c r="D51" s="36" t="s">
        <v>64</v>
      </c>
      <c r="F51" s="36" t="s">
        <v>78</v>
      </c>
      <c r="L51" s="42">
        <v>-55.32</v>
      </c>
    </row>
    <row r="52" spans="2:15" ht="14.4" x14ac:dyDescent="0.3">
      <c r="B52" s="39">
        <v>45306</v>
      </c>
      <c r="D52" s="36" t="s">
        <v>64</v>
      </c>
      <c r="F52" s="36" t="s">
        <v>71</v>
      </c>
      <c r="L52" s="42">
        <v>-9.3699999999999992</v>
      </c>
    </row>
    <row r="53" spans="2:15" ht="14.4" x14ac:dyDescent="0.3">
      <c r="B53" s="39">
        <v>45307</v>
      </c>
      <c r="D53" s="36" t="s">
        <v>64</v>
      </c>
      <c r="F53" s="36" t="s">
        <v>71</v>
      </c>
      <c r="L53" s="42">
        <v>-9.0399999999999991</v>
      </c>
    </row>
    <row r="54" spans="2:15" ht="14.4" x14ac:dyDescent="0.3">
      <c r="B54" s="39">
        <v>45308</v>
      </c>
      <c r="D54" s="36" t="s">
        <v>64</v>
      </c>
      <c r="F54" s="36" t="s">
        <v>71</v>
      </c>
      <c r="L54" s="42">
        <v>-8.7200000000000006</v>
      </c>
    </row>
    <row r="55" spans="2:15" ht="14.4" x14ac:dyDescent="0.3">
      <c r="B55" s="39">
        <v>45309</v>
      </c>
      <c r="D55" s="36" t="s">
        <v>64</v>
      </c>
      <c r="F55" s="36" t="s">
        <v>71</v>
      </c>
      <c r="L55" s="42">
        <v>-25.17</v>
      </c>
    </row>
    <row r="56" spans="2:15" ht="14.4" x14ac:dyDescent="0.3">
      <c r="B56" s="39">
        <v>45309</v>
      </c>
      <c r="D56" s="36" t="s">
        <v>64</v>
      </c>
      <c r="F56" s="36" t="s">
        <v>79</v>
      </c>
      <c r="O56" s="42">
        <v>-134</v>
      </c>
    </row>
    <row r="57" spans="2:15" ht="14.4" x14ac:dyDescent="0.3">
      <c r="B57" s="39">
        <v>45309</v>
      </c>
      <c r="D57" s="36" t="s">
        <v>64</v>
      </c>
      <c r="F57" s="36" t="s">
        <v>79</v>
      </c>
      <c r="O57" s="42">
        <v>-267</v>
      </c>
    </row>
    <row r="58" spans="2:15" ht="14.4" x14ac:dyDescent="0.3">
      <c r="B58" s="39">
        <v>45310</v>
      </c>
      <c r="D58" s="36" t="s">
        <v>64</v>
      </c>
      <c r="F58" s="36" t="s">
        <v>78</v>
      </c>
      <c r="L58" s="42">
        <v>-129.29</v>
      </c>
    </row>
    <row r="59" spans="2:15" ht="14.4" x14ac:dyDescent="0.3">
      <c r="B59" s="39">
        <v>45310</v>
      </c>
      <c r="D59" s="36" t="s">
        <v>64</v>
      </c>
      <c r="F59" s="36" t="s">
        <v>78</v>
      </c>
      <c r="L59" s="42">
        <v>-38.18</v>
      </c>
    </row>
    <row r="60" spans="2:15" ht="14.4" x14ac:dyDescent="0.3">
      <c r="B60" s="39">
        <v>45311</v>
      </c>
      <c r="D60" s="36" t="s">
        <v>64</v>
      </c>
      <c r="F60" s="36" t="s">
        <v>71</v>
      </c>
      <c r="L60" s="42">
        <v>-30.97</v>
      </c>
    </row>
    <row r="61" spans="2:15" ht="14.4" x14ac:dyDescent="0.3">
      <c r="B61" s="39">
        <v>45311</v>
      </c>
      <c r="D61" s="36" t="s">
        <v>64</v>
      </c>
      <c r="F61" s="36" t="s">
        <v>71</v>
      </c>
      <c r="L61" s="42">
        <v>-24.2</v>
      </c>
    </row>
    <row r="62" spans="2:15" ht="14.4" x14ac:dyDescent="0.3">
      <c r="B62" s="39">
        <v>45313</v>
      </c>
      <c r="D62" s="36" t="s">
        <v>64</v>
      </c>
      <c r="F62" s="36" t="s">
        <v>71</v>
      </c>
      <c r="L62" s="42">
        <v>-21.3</v>
      </c>
    </row>
    <row r="63" spans="2:15" ht="14.4" x14ac:dyDescent="0.3">
      <c r="B63" s="39">
        <v>45313</v>
      </c>
      <c r="D63" s="36" t="s">
        <v>61</v>
      </c>
      <c r="F63" s="36" t="s">
        <v>80</v>
      </c>
      <c r="N63" s="42">
        <v>844</v>
      </c>
    </row>
    <row r="64" spans="2:15" ht="14.4" x14ac:dyDescent="0.3">
      <c r="B64" s="39">
        <v>45317</v>
      </c>
      <c r="D64" s="36" t="s">
        <v>57</v>
      </c>
      <c r="F64" s="36" t="s">
        <v>70</v>
      </c>
      <c r="L64" s="42">
        <v>-11.63</v>
      </c>
    </row>
    <row r="65" spans="2:14" ht="14.4" x14ac:dyDescent="0.3">
      <c r="B65" s="39">
        <v>45317</v>
      </c>
      <c r="D65" s="36" t="s">
        <v>64</v>
      </c>
      <c r="F65" s="36" t="s">
        <v>71</v>
      </c>
      <c r="L65" s="42">
        <v>-11.62</v>
      </c>
    </row>
    <row r="66" spans="2:14" ht="14.4" x14ac:dyDescent="0.3">
      <c r="B66" s="39">
        <v>45319</v>
      </c>
      <c r="D66" s="36" t="s">
        <v>57</v>
      </c>
      <c r="F66" s="36" t="s">
        <v>70</v>
      </c>
      <c r="L66" s="42">
        <v>-21.03</v>
      </c>
    </row>
    <row r="67" spans="2:14" ht="14.4" x14ac:dyDescent="0.3">
      <c r="B67" s="39">
        <v>45319</v>
      </c>
      <c r="D67" s="36" t="s">
        <v>64</v>
      </c>
      <c r="F67" s="36" t="s">
        <v>71</v>
      </c>
      <c r="L67" s="42">
        <v>-15.49</v>
      </c>
    </row>
    <row r="68" spans="2:14" ht="14.4" x14ac:dyDescent="0.3">
      <c r="B68" s="39">
        <v>45319</v>
      </c>
      <c r="D68" s="36" t="s">
        <v>64</v>
      </c>
      <c r="F68" s="36" t="s">
        <v>71</v>
      </c>
      <c r="L68" s="42">
        <v>-15.49</v>
      </c>
    </row>
    <row r="69" spans="2:14" ht="14.4" x14ac:dyDescent="0.3">
      <c r="B69" s="39">
        <v>45319</v>
      </c>
      <c r="D69" s="36" t="s">
        <v>64</v>
      </c>
      <c r="F69" s="36" t="s">
        <v>81</v>
      </c>
      <c r="M69" s="42">
        <v>-250</v>
      </c>
    </row>
    <row r="70" spans="2:14" ht="14.4" x14ac:dyDescent="0.3">
      <c r="B70" s="39">
        <v>45319</v>
      </c>
      <c r="D70" s="36" t="s">
        <v>64</v>
      </c>
      <c r="F70" s="36" t="s">
        <v>81</v>
      </c>
      <c r="M70" s="42">
        <v>-252.8</v>
      </c>
    </row>
    <row r="71" spans="2:14" ht="14.4" x14ac:dyDescent="0.3">
      <c r="B71" s="39">
        <v>45319</v>
      </c>
      <c r="D71" s="36" t="s">
        <v>64</v>
      </c>
      <c r="F71" s="36" t="s">
        <v>81</v>
      </c>
      <c r="M71" s="42">
        <v>-250</v>
      </c>
    </row>
    <row r="72" spans="2:14" ht="14.4" x14ac:dyDescent="0.3">
      <c r="B72" s="39">
        <v>45319</v>
      </c>
      <c r="D72" s="36" t="s">
        <v>64</v>
      </c>
      <c r="F72" s="36" t="s">
        <v>77</v>
      </c>
      <c r="L72" s="42">
        <v>-12.62</v>
      </c>
    </row>
    <row r="73" spans="2:14" ht="14.4" x14ac:dyDescent="0.3">
      <c r="B73" s="39">
        <v>45320</v>
      </c>
      <c r="D73" s="36" t="s">
        <v>57</v>
      </c>
      <c r="F73" s="36" t="s">
        <v>82</v>
      </c>
      <c r="N73" s="42">
        <v>-600</v>
      </c>
    </row>
    <row r="74" spans="2:14" ht="14.4" x14ac:dyDescent="0.3">
      <c r="B74" s="39">
        <v>45320</v>
      </c>
      <c r="D74" s="36" t="s">
        <v>64</v>
      </c>
      <c r="F74" s="36" t="s">
        <v>81</v>
      </c>
      <c r="L74" s="42">
        <f>-252.63-106.2</f>
        <v>-358.83</v>
      </c>
    </row>
    <row r="75" spans="2:14" ht="14.4" x14ac:dyDescent="0.3">
      <c r="B75" s="39">
        <v>45321</v>
      </c>
      <c r="D75" s="36" t="s">
        <v>64</v>
      </c>
      <c r="F75" s="36" t="s">
        <v>83</v>
      </c>
      <c r="L75" s="42">
        <v>-30.8</v>
      </c>
    </row>
    <row r="76" spans="2:14" ht="14.4" x14ac:dyDescent="0.3">
      <c r="B76" s="39">
        <v>45321</v>
      </c>
      <c r="D76" s="36" t="s">
        <v>73</v>
      </c>
      <c r="F76" s="36" t="s">
        <v>84</v>
      </c>
      <c r="L76" s="42">
        <v>-30.84</v>
      </c>
    </row>
    <row r="77" spans="2:14" ht="14.4" x14ac:dyDescent="0.3">
      <c r="B77" s="39">
        <v>45321</v>
      </c>
      <c r="D77" s="36" t="s">
        <v>64</v>
      </c>
      <c r="F77" s="36" t="s">
        <v>81</v>
      </c>
      <c r="M77" s="42">
        <v>-135</v>
      </c>
    </row>
    <row r="78" spans="2:14" ht="14.4" x14ac:dyDescent="0.3">
      <c r="B78" s="39">
        <v>45321</v>
      </c>
      <c r="D78" s="36" t="s">
        <v>64</v>
      </c>
      <c r="F78" s="36" t="s">
        <v>77</v>
      </c>
      <c r="L78" s="42">
        <v>-24.17</v>
      </c>
    </row>
    <row r="79" spans="2:14" ht="14.4" x14ac:dyDescent="0.3">
      <c r="B79" s="39">
        <v>45322</v>
      </c>
      <c r="D79" s="36" t="s">
        <v>64</v>
      </c>
      <c r="F79" s="36" t="s">
        <v>81</v>
      </c>
      <c r="L79" s="42">
        <v>-166.12</v>
      </c>
    </row>
    <row r="80" spans="2:14" ht="14.4" x14ac:dyDescent="0.3">
      <c r="B80" s="39">
        <v>45323</v>
      </c>
      <c r="D80" s="36" t="s">
        <v>57</v>
      </c>
      <c r="F80" s="36" t="s">
        <v>85</v>
      </c>
      <c r="L80" s="42">
        <v>-29.95</v>
      </c>
    </row>
    <row r="81" spans="2:15" ht="14.4" x14ac:dyDescent="0.3">
      <c r="B81" s="39">
        <v>45323</v>
      </c>
      <c r="D81" s="36" t="s">
        <v>64</v>
      </c>
      <c r="F81" s="36" t="s">
        <v>81</v>
      </c>
      <c r="L81" s="42">
        <v>-250</v>
      </c>
    </row>
    <row r="82" spans="2:15" ht="14.4" x14ac:dyDescent="0.3">
      <c r="B82" s="39">
        <v>45325</v>
      </c>
      <c r="D82" s="36" t="s">
        <v>64</v>
      </c>
      <c r="F82" s="36" t="s">
        <v>81</v>
      </c>
      <c r="L82" s="42">
        <v>-250</v>
      </c>
    </row>
    <row r="83" spans="2:15" ht="14.4" x14ac:dyDescent="0.3">
      <c r="B83" s="39">
        <v>45327</v>
      </c>
      <c r="D83" s="36" t="s">
        <v>64</v>
      </c>
      <c r="F83" s="36" t="s">
        <v>81</v>
      </c>
      <c r="L83" s="42">
        <v>-250</v>
      </c>
    </row>
    <row r="84" spans="2:15" ht="14.4" x14ac:dyDescent="0.3">
      <c r="B84" s="39">
        <v>45328</v>
      </c>
      <c r="D84" s="36" t="s">
        <v>64</v>
      </c>
      <c r="F84" s="36" t="s">
        <v>81</v>
      </c>
      <c r="L84" s="42">
        <v>-250</v>
      </c>
    </row>
    <row r="85" spans="2:15" ht="14.4" x14ac:dyDescent="0.3">
      <c r="B85" s="39">
        <v>45330</v>
      </c>
      <c r="D85" s="36" t="s">
        <v>64</v>
      </c>
      <c r="F85" s="36" t="s">
        <v>81</v>
      </c>
      <c r="L85" s="42">
        <v>-250</v>
      </c>
    </row>
    <row r="86" spans="2:15" ht="14.4" x14ac:dyDescent="0.3">
      <c r="B86" s="39">
        <v>45331</v>
      </c>
      <c r="D86" s="36" t="s">
        <v>64</v>
      </c>
      <c r="F86" s="36" t="s">
        <v>81</v>
      </c>
      <c r="L86" s="42">
        <v>-250</v>
      </c>
    </row>
    <row r="87" spans="2:15" ht="14.4" x14ac:dyDescent="0.3">
      <c r="B87" s="39">
        <v>45332</v>
      </c>
      <c r="D87" s="36" t="s">
        <v>57</v>
      </c>
      <c r="F87" s="36" t="s">
        <v>86</v>
      </c>
      <c r="O87" s="42">
        <v>-5000</v>
      </c>
    </row>
    <row r="88" spans="2:15" ht="14.4" x14ac:dyDescent="0.3">
      <c r="B88" s="39">
        <v>45332</v>
      </c>
      <c r="D88" s="36" t="s">
        <v>64</v>
      </c>
      <c r="F88" s="36" t="s">
        <v>81</v>
      </c>
      <c r="L88" s="42">
        <v>-249</v>
      </c>
    </row>
    <row r="89" spans="2:15" ht="14.4" x14ac:dyDescent="0.3">
      <c r="B89" s="39">
        <v>45332</v>
      </c>
      <c r="D89" s="36" t="s">
        <v>64</v>
      </c>
      <c r="F89" s="36" t="s">
        <v>81</v>
      </c>
      <c r="L89" s="42">
        <v>-248</v>
      </c>
    </row>
    <row r="90" spans="2:15" ht="14.4" x14ac:dyDescent="0.3">
      <c r="B90" s="39">
        <v>45332</v>
      </c>
      <c r="D90" s="36" t="s">
        <v>47</v>
      </c>
      <c r="F90" s="36" t="s">
        <v>87</v>
      </c>
      <c r="K90" s="42">
        <f>500+221</f>
        <v>721</v>
      </c>
    </row>
    <row r="91" spans="2:15" ht="14.4" x14ac:dyDescent="0.3">
      <c r="B91" s="39">
        <v>45333</v>
      </c>
      <c r="D91" s="36" t="s">
        <v>64</v>
      </c>
      <c r="F91" s="36" t="s">
        <v>81</v>
      </c>
      <c r="L91" s="42">
        <v>-247</v>
      </c>
    </row>
    <row r="92" spans="2:15" ht="14.4" x14ac:dyDescent="0.3">
      <c r="B92" s="39">
        <v>45334</v>
      </c>
      <c r="D92" s="36" t="s">
        <v>64</v>
      </c>
      <c r="F92" s="36" t="s">
        <v>88</v>
      </c>
      <c r="O92" s="42">
        <v>-167.5</v>
      </c>
    </row>
    <row r="93" spans="2:15" ht="14.4" x14ac:dyDescent="0.3">
      <c r="B93" s="39">
        <v>45334</v>
      </c>
      <c r="D93" s="36" t="s">
        <v>73</v>
      </c>
      <c r="F93" s="36" t="s">
        <v>88</v>
      </c>
      <c r="O93" s="42">
        <v>-167.5</v>
      </c>
    </row>
    <row r="94" spans="2:15" ht="14.4" x14ac:dyDescent="0.3">
      <c r="B94" s="39">
        <v>45334</v>
      </c>
      <c r="D94" s="36" t="s">
        <v>57</v>
      </c>
      <c r="F94" s="36" t="s">
        <v>89</v>
      </c>
      <c r="O94" s="42">
        <v>-315</v>
      </c>
    </row>
    <row r="95" spans="2:15" ht="14.4" x14ac:dyDescent="0.3">
      <c r="B95" s="39">
        <v>45334</v>
      </c>
      <c r="D95" s="36" t="s">
        <v>61</v>
      </c>
      <c r="F95" s="36" t="s">
        <v>90</v>
      </c>
      <c r="O95" s="42">
        <v>-26.21</v>
      </c>
    </row>
    <row r="96" spans="2:15" ht="14.4" x14ac:dyDescent="0.3">
      <c r="B96" s="39">
        <v>45334</v>
      </c>
      <c r="D96" s="36" t="s">
        <v>64</v>
      </c>
      <c r="F96" s="36" t="s">
        <v>91</v>
      </c>
      <c r="O96" s="42">
        <v>-180</v>
      </c>
    </row>
    <row r="97" spans="2:15" ht="14.4" x14ac:dyDescent="0.3">
      <c r="B97" s="39">
        <v>45334</v>
      </c>
      <c r="D97" s="36" t="s">
        <v>73</v>
      </c>
      <c r="F97" s="36" t="s">
        <v>91</v>
      </c>
      <c r="O97" s="42">
        <v>-180</v>
      </c>
    </row>
    <row r="98" spans="2:15" ht="14.4" x14ac:dyDescent="0.3">
      <c r="B98" s="39">
        <v>45334</v>
      </c>
      <c r="D98" s="36" t="s">
        <v>57</v>
      </c>
      <c r="F98" s="36" t="s">
        <v>92</v>
      </c>
      <c r="I98" s="42">
        <f>-59-4</f>
        <v>-63</v>
      </c>
    </row>
    <row r="99" spans="2:15" ht="14.4" x14ac:dyDescent="0.3">
      <c r="B99" s="39">
        <v>45334</v>
      </c>
      <c r="D99" s="36" t="s">
        <v>64</v>
      </c>
      <c r="F99" s="36" t="s">
        <v>93</v>
      </c>
      <c r="O99" s="42">
        <v>-26.21</v>
      </c>
    </row>
    <row r="100" spans="2:15" ht="14.4" x14ac:dyDescent="0.3">
      <c r="B100" s="39">
        <v>45335</v>
      </c>
      <c r="D100" s="36" t="s">
        <v>64</v>
      </c>
      <c r="F100" s="36" t="s">
        <v>94</v>
      </c>
      <c r="L100" s="42">
        <v>-230</v>
      </c>
    </row>
    <row r="101" spans="2:15" ht="14.4" x14ac:dyDescent="0.3">
      <c r="B101" s="39">
        <v>45336</v>
      </c>
      <c r="D101" s="36" t="s">
        <v>57</v>
      </c>
      <c r="F101" s="36" t="s">
        <v>72</v>
      </c>
      <c r="L101" s="42">
        <v>-20</v>
      </c>
    </row>
    <row r="102" spans="2:15" ht="14.4" x14ac:dyDescent="0.3">
      <c r="B102" s="39">
        <v>45336</v>
      </c>
      <c r="D102" s="36" t="s">
        <v>64</v>
      </c>
      <c r="F102" s="36" t="s">
        <v>77</v>
      </c>
      <c r="L102" s="42">
        <v>-99</v>
      </c>
    </row>
    <row r="103" spans="2:15" ht="14.4" x14ac:dyDescent="0.3">
      <c r="B103" s="39">
        <v>45337</v>
      </c>
      <c r="D103" s="36" t="s">
        <v>64</v>
      </c>
      <c r="F103" s="36" t="s">
        <v>78</v>
      </c>
      <c r="L103" s="42">
        <v>-178.23</v>
      </c>
    </row>
    <row r="104" spans="2:15" ht="14.4" x14ac:dyDescent="0.3">
      <c r="B104" s="39">
        <v>45338</v>
      </c>
      <c r="D104" s="36" t="s">
        <v>64</v>
      </c>
      <c r="F104" s="36" t="s">
        <v>81</v>
      </c>
      <c r="L104" s="42">
        <v>-252.36</v>
      </c>
    </row>
    <row r="105" spans="2:15" ht="14.4" x14ac:dyDescent="0.3">
      <c r="B105" s="39">
        <v>45341</v>
      </c>
      <c r="D105" s="36" t="s">
        <v>64</v>
      </c>
      <c r="F105" s="36" t="s">
        <v>70</v>
      </c>
      <c r="L105" s="42">
        <v>-3.41</v>
      </c>
    </row>
    <row r="106" spans="2:15" ht="14.4" x14ac:dyDescent="0.3">
      <c r="B106" s="39">
        <v>45341</v>
      </c>
      <c r="D106" s="36" t="s">
        <v>61</v>
      </c>
      <c r="F106" s="36" t="s">
        <v>95</v>
      </c>
      <c r="L106" s="42">
        <v>2404</v>
      </c>
    </row>
    <row r="107" spans="2:15" ht="14.4" x14ac:dyDescent="0.3">
      <c r="B107" s="39">
        <v>45345</v>
      </c>
      <c r="D107" s="36" t="s">
        <v>73</v>
      </c>
      <c r="F107" s="36" t="s">
        <v>96</v>
      </c>
      <c r="L107" s="42">
        <v>-150</v>
      </c>
    </row>
    <row r="108" spans="2:15" ht="14.4" x14ac:dyDescent="0.3">
      <c r="B108" s="39">
        <v>45353</v>
      </c>
      <c r="D108" s="36" t="s">
        <v>57</v>
      </c>
      <c r="F108" s="36" t="s">
        <v>97</v>
      </c>
      <c r="O108" s="42">
        <v>-300</v>
      </c>
    </row>
    <row r="109" spans="2:15" ht="14.4" x14ac:dyDescent="0.3">
      <c r="B109" s="39">
        <v>45354</v>
      </c>
      <c r="D109" s="36" t="s">
        <v>57</v>
      </c>
      <c r="F109" s="36" t="s">
        <v>70</v>
      </c>
      <c r="L109" s="42">
        <v>-21</v>
      </c>
    </row>
    <row r="110" spans="2:15" ht="14.4" x14ac:dyDescent="0.3">
      <c r="B110" s="39">
        <v>45356</v>
      </c>
      <c r="D110" s="36" t="s">
        <v>64</v>
      </c>
      <c r="F110" s="36" t="s">
        <v>524</v>
      </c>
      <c r="K110" s="42">
        <v>22861</v>
      </c>
      <c r="N110" s="42">
        <v>1235</v>
      </c>
    </row>
    <row r="111" spans="2:15" ht="14.4" x14ac:dyDescent="0.3">
      <c r="B111" s="39">
        <v>45356</v>
      </c>
      <c r="D111" s="36" t="s">
        <v>73</v>
      </c>
      <c r="F111" s="36" t="s">
        <v>98</v>
      </c>
      <c r="K111" s="42">
        <v>5527</v>
      </c>
    </row>
    <row r="112" spans="2:15" ht="14.4" x14ac:dyDescent="0.3">
      <c r="B112" s="39">
        <v>45356</v>
      </c>
      <c r="D112" s="36" t="s">
        <v>64</v>
      </c>
      <c r="F112" s="36" t="s">
        <v>99</v>
      </c>
      <c r="O112" s="42">
        <v>1008</v>
      </c>
    </row>
    <row r="113" spans="2:15" ht="14.4" x14ac:dyDescent="0.3">
      <c r="B113" s="39">
        <v>45357</v>
      </c>
      <c r="D113" s="36" t="s">
        <v>57</v>
      </c>
      <c r="F113" s="36" t="s">
        <v>70</v>
      </c>
      <c r="L113" s="42">
        <v>-11.51</v>
      </c>
    </row>
    <row r="114" spans="2:15" ht="14.4" x14ac:dyDescent="0.3">
      <c r="B114" s="39">
        <v>45359</v>
      </c>
      <c r="D114" s="36" t="s">
        <v>64</v>
      </c>
      <c r="F114" s="36" t="s">
        <v>100</v>
      </c>
      <c r="N114" s="42">
        <v>-220</v>
      </c>
      <c r="O114" s="42">
        <f>-197-1028-70-202-70</f>
        <v>-1567</v>
      </c>
    </row>
    <row r="115" spans="2:15" ht="14.4" x14ac:dyDescent="0.3">
      <c r="B115" s="39">
        <v>45359</v>
      </c>
      <c r="D115" s="36" t="s">
        <v>64</v>
      </c>
      <c r="F115" s="36" t="s">
        <v>101</v>
      </c>
      <c r="O115" s="42">
        <f>882</f>
        <v>882</v>
      </c>
    </row>
    <row r="116" spans="2:15" ht="14.4" x14ac:dyDescent="0.3">
      <c r="B116" s="39">
        <v>45362</v>
      </c>
      <c r="D116" s="36" t="s">
        <v>73</v>
      </c>
      <c r="F116" s="36" t="s">
        <v>88</v>
      </c>
      <c r="O116" s="42">
        <v>-105</v>
      </c>
    </row>
    <row r="117" spans="2:15" ht="14.4" x14ac:dyDescent="0.3">
      <c r="B117" s="39">
        <v>45362</v>
      </c>
      <c r="D117" s="36" t="s">
        <v>73</v>
      </c>
      <c r="F117" s="36" t="s">
        <v>96</v>
      </c>
      <c r="L117" s="42">
        <v>-150</v>
      </c>
    </row>
    <row r="118" spans="2:15" ht="14.4" x14ac:dyDescent="0.3">
      <c r="B118" s="39">
        <v>45362</v>
      </c>
      <c r="D118" s="36" t="s">
        <v>64</v>
      </c>
      <c r="F118" s="36" t="s">
        <v>102</v>
      </c>
      <c r="L118" s="42">
        <v>-963</v>
      </c>
    </row>
    <row r="119" spans="2:15" ht="14.4" x14ac:dyDescent="0.3">
      <c r="B119" s="39">
        <v>45364</v>
      </c>
      <c r="D119" s="36" t="s">
        <v>64</v>
      </c>
      <c r="F119" s="36" t="s">
        <v>103</v>
      </c>
      <c r="L119" s="42">
        <v>-750</v>
      </c>
    </row>
    <row r="120" spans="2:15" ht="14.4" x14ac:dyDescent="0.3">
      <c r="B120" s="39">
        <v>45364</v>
      </c>
      <c r="D120" s="36" t="s">
        <v>104</v>
      </c>
      <c r="F120" s="36" t="s">
        <v>105</v>
      </c>
      <c r="O120" s="42">
        <v>-5319</v>
      </c>
    </row>
    <row r="121" spans="2:15" ht="14.4" x14ac:dyDescent="0.3">
      <c r="B121" s="39">
        <v>45364</v>
      </c>
      <c r="D121" s="36" t="s">
        <v>104</v>
      </c>
      <c r="F121" s="36" t="s">
        <v>106</v>
      </c>
      <c r="N121" s="42">
        <v>-1259</v>
      </c>
      <c r="O121" s="42">
        <v>-3059</v>
      </c>
    </row>
    <row r="122" spans="2:15" ht="14.4" x14ac:dyDescent="0.3">
      <c r="B122" s="39">
        <v>45364</v>
      </c>
      <c r="D122" s="36" t="s">
        <v>104</v>
      </c>
      <c r="F122" s="36" t="s">
        <v>107</v>
      </c>
      <c r="O122" s="42">
        <v>-5319</v>
      </c>
    </row>
    <row r="123" spans="2:15" ht="14.4" x14ac:dyDescent="0.3">
      <c r="B123" s="39">
        <v>45364</v>
      </c>
      <c r="D123" s="36" t="s">
        <v>104</v>
      </c>
      <c r="F123" s="36" t="s">
        <v>108</v>
      </c>
      <c r="O123" s="42">
        <v>-5319</v>
      </c>
    </row>
    <row r="124" spans="2:15" ht="14.4" x14ac:dyDescent="0.3">
      <c r="B124" s="39">
        <v>45369</v>
      </c>
      <c r="D124" s="36" t="s">
        <v>57</v>
      </c>
      <c r="F124" s="36" t="s">
        <v>109</v>
      </c>
      <c r="L124" s="42">
        <v>-27.27</v>
      </c>
    </row>
    <row r="125" spans="2:15" ht="14.4" x14ac:dyDescent="0.3">
      <c r="B125" s="39">
        <v>45372</v>
      </c>
      <c r="D125" s="36" t="s">
        <v>110</v>
      </c>
      <c r="F125" s="36" t="s">
        <v>55</v>
      </c>
      <c r="K125" s="42">
        <v>-27167</v>
      </c>
      <c r="L125" s="42">
        <v>27167.19</v>
      </c>
    </row>
    <row r="126" spans="2:15" ht="14.4" x14ac:dyDescent="0.3">
      <c r="B126" s="39">
        <v>45378</v>
      </c>
      <c r="D126" s="36" t="s">
        <v>57</v>
      </c>
      <c r="F126" s="36" t="s">
        <v>111</v>
      </c>
      <c r="L126" s="42">
        <v>-31.52</v>
      </c>
    </row>
    <row r="127" spans="2:15" ht="14.4" x14ac:dyDescent="0.3">
      <c r="B127" s="39">
        <v>45379</v>
      </c>
      <c r="D127" s="36" t="s">
        <v>57</v>
      </c>
      <c r="F127" s="36" t="s">
        <v>70</v>
      </c>
      <c r="L127" s="42">
        <v>-15.36</v>
      </c>
    </row>
    <row r="128" spans="2:15" ht="14.4" x14ac:dyDescent="0.3">
      <c r="B128" s="39">
        <v>45379</v>
      </c>
      <c r="D128" s="36" t="s">
        <v>112</v>
      </c>
      <c r="F128" s="36" t="s">
        <v>70</v>
      </c>
      <c r="L128" s="42">
        <v>-21.39</v>
      </c>
    </row>
    <row r="129" spans="2:15" ht="14.4" x14ac:dyDescent="0.3">
      <c r="B129" s="39">
        <v>45379</v>
      </c>
      <c r="D129" s="36" t="s">
        <v>112</v>
      </c>
      <c r="F129" s="36" t="s">
        <v>77</v>
      </c>
      <c r="L129" s="42">
        <v>-25</v>
      </c>
    </row>
    <row r="130" spans="2:15" ht="14.4" x14ac:dyDescent="0.3">
      <c r="B130" s="39">
        <v>45382</v>
      </c>
      <c r="D130" s="36" t="s">
        <v>57</v>
      </c>
      <c r="F130" s="36" t="s">
        <v>113</v>
      </c>
      <c r="L130" s="42">
        <v>-21</v>
      </c>
    </row>
    <row r="131" spans="2:15" ht="14.4" x14ac:dyDescent="0.3">
      <c r="B131" s="39">
        <v>45387</v>
      </c>
      <c r="D131" s="36" t="s">
        <v>112</v>
      </c>
      <c r="F131" s="36" t="s">
        <v>114</v>
      </c>
      <c r="L131" s="42">
        <f>-39-18.67</f>
        <v>-57.67</v>
      </c>
    </row>
    <row r="132" spans="2:15" ht="14.4" x14ac:dyDescent="0.3">
      <c r="B132" s="39">
        <v>45387</v>
      </c>
      <c r="D132" s="36" t="s">
        <v>112</v>
      </c>
      <c r="F132" s="36" t="s">
        <v>115</v>
      </c>
      <c r="L132" s="42">
        <v>-20</v>
      </c>
    </row>
    <row r="133" spans="2:15" ht="14.4" x14ac:dyDescent="0.3">
      <c r="B133" s="39">
        <v>45388</v>
      </c>
      <c r="D133" s="36" t="s">
        <v>112</v>
      </c>
      <c r="F133" s="36" t="s">
        <v>70</v>
      </c>
      <c r="L133" s="42">
        <v>-12.04</v>
      </c>
    </row>
    <row r="134" spans="2:15" ht="14.4" x14ac:dyDescent="0.3">
      <c r="B134" s="39">
        <v>45388</v>
      </c>
      <c r="D134" s="36" t="s">
        <v>112</v>
      </c>
      <c r="F134" s="36" t="s">
        <v>116</v>
      </c>
      <c r="O134" s="42">
        <v>-211</v>
      </c>
    </row>
    <row r="135" spans="2:15" ht="14.4" x14ac:dyDescent="0.3">
      <c r="B135" s="39">
        <v>45388</v>
      </c>
      <c r="D135" s="36" t="s">
        <v>112</v>
      </c>
      <c r="F135" s="36" t="s">
        <v>114</v>
      </c>
      <c r="L135" s="42">
        <v>-12.6</v>
      </c>
    </row>
    <row r="136" spans="2:15" ht="14.4" x14ac:dyDescent="0.3">
      <c r="B136" s="39">
        <v>45389</v>
      </c>
      <c r="D136" s="36" t="s">
        <v>112</v>
      </c>
      <c r="F136" s="36" t="s">
        <v>114</v>
      </c>
      <c r="L136" s="42">
        <v>-31.21</v>
      </c>
    </row>
    <row r="137" spans="2:15" ht="14.4" x14ac:dyDescent="0.3">
      <c r="B137" s="39">
        <v>45389</v>
      </c>
      <c r="D137" s="36" t="s">
        <v>112</v>
      </c>
      <c r="F137" s="36" t="s">
        <v>114</v>
      </c>
      <c r="L137" s="42">
        <v>-31.21</v>
      </c>
    </row>
    <row r="138" spans="2:15" ht="14.4" x14ac:dyDescent="0.3">
      <c r="B138" s="39">
        <v>45390</v>
      </c>
      <c r="D138" s="36" t="s">
        <v>112</v>
      </c>
      <c r="F138" s="36" t="s">
        <v>114</v>
      </c>
      <c r="L138" s="42">
        <v>-25.01</v>
      </c>
    </row>
    <row r="139" spans="2:15" ht="14.4" x14ac:dyDescent="0.3">
      <c r="B139" s="39">
        <v>45392</v>
      </c>
      <c r="D139" s="36" t="s">
        <v>112</v>
      </c>
      <c r="F139" s="36" t="s">
        <v>117</v>
      </c>
      <c r="L139" s="42">
        <v>-250</v>
      </c>
    </row>
    <row r="140" spans="2:15" ht="14.4" x14ac:dyDescent="0.3">
      <c r="B140" s="39">
        <v>45392</v>
      </c>
      <c r="D140" s="36" t="s">
        <v>112</v>
      </c>
      <c r="F140" s="36" t="s">
        <v>114</v>
      </c>
      <c r="L140" s="42">
        <v>-15.34</v>
      </c>
    </row>
    <row r="141" spans="2:15" ht="14.4" x14ac:dyDescent="0.3">
      <c r="B141" s="39">
        <v>45393</v>
      </c>
      <c r="D141" s="36" t="s">
        <v>112</v>
      </c>
      <c r="F141" s="36" t="s">
        <v>117</v>
      </c>
      <c r="L141" s="42">
        <v>-500</v>
      </c>
    </row>
    <row r="142" spans="2:15" ht="14.4" x14ac:dyDescent="0.3">
      <c r="B142" s="39">
        <v>45394</v>
      </c>
      <c r="D142" s="36" t="s">
        <v>57</v>
      </c>
      <c r="F142" s="36" t="s">
        <v>118</v>
      </c>
      <c r="L142" s="42">
        <v>-215.93</v>
      </c>
    </row>
    <row r="143" spans="2:15" ht="14.4" x14ac:dyDescent="0.3">
      <c r="B143" s="39">
        <v>45394</v>
      </c>
      <c r="D143" s="36" t="s">
        <v>112</v>
      </c>
      <c r="F143" s="36" t="s">
        <v>114</v>
      </c>
      <c r="L143" s="42">
        <v>-21</v>
      </c>
    </row>
    <row r="144" spans="2:15" ht="14.4" x14ac:dyDescent="0.3">
      <c r="B144" s="39">
        <v>45395</v>
      </c>
      <c r="D144" s="36" t="s">
        <v>57</v>
      </c>
      <c r="F144" s="36" t="s">
        <v>119</v>
      </c>
      <c r="L144" s="42">
        <v>-12</v>
      </c>
    </row>
    <row r="145" spans="2:15" ht="14.4" x14ac:dyDescent="0.3">
      <c r="B145" s="39">
        <v>45395</v>
      </c>
      <c r="D145" s="36" t="s">
        <v>112</v>
      </c>
      <c r="F145" s="36" t="s">
        <v>117</v>
      </c>
      <c r="L145" s="42">
        <v>-1500</v>
      </c>
    </row>
    <row r="146" spans="2:15" ht="14.4" x14ac:dyDescent="0.3">
      <c r="B146" s="39">
        <v>45396</v>
      </c>
      <c r="D146" s="36" t="s">
        <v>112</v>
      </c>
      <c r="F146" s="36" t="s">
        <v>117</v>
      </c>
      <c r="L146" s="42">
        <v>-1000</v>
      </c>
    </row>
    <row r="147" spans="2:15" ht="14.4" x14ac:dyDescent="0.3">
      <c r="B147" s="39">
        <v>45396</v>
      </c>
      <c r="D147" s="36" t="s">
        <v>112</v>
      </c>
      <c r="F147" s="36" t="s">
        <v>114</v>
      </c>
      <c r="L147" s="42">
        <v>-20</v>
      </c>
    </row>
    <row r="148" spans="2:15" ht="14.4" x14ac:dyDescent="0.3">
      <c r="B148" s="39">
        <v>45397</v>
      </c>
      <c r="D148" s="36" t="s">
        <v>112</v>
      </c>
      <c r="F148" s="36" t="s">
        <v>117</v>
      </c>
      <c r="L148" s="42">
        <v>-750</v>
      </c>
    </row>
    <row r="149" spans="2:15" ht="14.4" x14ac:dyDescent="0.3">
      <c r="B149" s="39">
        <v>45397</v>
      </c>
      <c r="D149" s="36" t="s">
        <v>112</v>
      </c>
      <c r="F149" s="36" t="s">
        <v>116</v>
      </c>
      <c r="O149" s="42">
        <v>-102.15</v>
      </c>
    </row>
    <row r="150" spans="2:15" ht="14.4" x14ac:dyDescent="0.3">
      <c r="B150" s="39">
        <v>45398</v>
      </c>
      <c r="D150" s="36" t="s">
        <v>112</v>
      </c>
      <c r="F150" s="36" t="s">
        <v>117</v>
      </c>
      <c r="L150" s="42">
        <v>-750</v>
      </c>
    </row>
    <row r="151" spans="2:15" ht="14.4" x14ac:dyDescent="0.3">
      <c r="B151" s="39">
        <v>45398</v>
      </c>
      <c r="D151" s="36" t="s">
        <v>112</v>
      </c>
      <c r="F151" s="36" t="s">
        <v>114</v>
      </c>
      <c r="L151" s="42">
        <v>-17</v>
      </c>
    </row>
    <row r="152" spans="2:15" ht="14.4" x14ac:dyDescent="0.3">
      <c r="B152" s="39">
        <v>45399</v>
      </c>
      <c r="D152" s="36" t="s">
        <v>112</v>
      </c>
      <c r="F152" s="36" t="s">
        <v>117</v>
      </c>
      <c r="L152" s="42">
        <v>-1000</v>
      </c>
    </row>
    <row r="153" spans="2:15" ht="14.4" x14ac:dyDescent="0.3">
      <c r="B153" s="39">
        <v>45399</v>
      </c>
      <c r="D153" s="36" t="s">
        <v>110</v>
      </c>
      <c r="F153" s="36" t="s">
        <v>55</v>
      </c>
      <c r="K153" s="42">
        <v>-1942</v>
      </c>
      <c r="L153" s="42">
        <v>1942</v>
      </c>
    </row>
    <row r="154" spans="2:15" ht="14.4" x14ac:dyDescent="0.3">
      <c r="B154" s="39">
        <v>45400</v>
      </c>
      <c r="D154" s="36" t="s">
        <v>112</v>
      </c>
      <c r="F154" s="36" t="s">
        <v>117</v>
      </c>
      <c r="L154" s="42">
        <v>-750</v>
      </c>
    </row>
    <row r="155" spans="2:15" ht="14.4" x14ac:dyDescent="0.3">
      <c r="B155" s="39">
        <v>45401</v>
      </c>
      <c r="D155" s="36" t="s">
        <v>112</v>
      </c>
      <c r="F155" s="36" t="s">
        <v>117</v>
      </c>
      <c r="L155" s="42">
        <v>-1000</v>
      </c>
    </row>
    <row r="156" spans="2:15" ht="14.4" x14ac:dyDescent="0.3">
      <c r="B156" s="39">
        <v>45401</v>
      </c>
      <c r="D156" s="36" t="s">
        <v>112</v>
      </c>
      <c r="F156" s="36" t="s">
        <v>114</v>
      </c>
      <c r="L156" s="42">
        <v>-17.96</v>
      </c>
    </row>
    <row r="157" spans="2:15" ht="14.4" x14ac:dyDescent="0.3">
      <c r="B157" s="39">
        <v>45401</v>
      </c>
      <c r="D157" s="36" t="s">
        <v>112</v>
      </c>
      <c r="F157" s="36" t="s">
        <v>77</v>
      </c>
      <c r="L157" s="42">
        <v>-7.95</v>
      </c>
    </row>
    <row r="158" spans="2:15" ht="14.4" x14ac:dyDescent="0.3">
      <c r="B158" s="39">
        <v>45402</v>
      </c>
      <c r="D158" s="36" t="s">
        <v>112</v>
      </c>
      <c r="F158" s="36" t="s">
        <v>117</v>
      </c>
      <c r="L158" s="42">
        <v>-750</v>
      </c>
    </row>
    <row r="159" spans="2:15" ht="14.4" x14ac:dyDescent="0.3">
      <c r="B159" s="39">
        <v>45403</v>
      </c>
      <c r="D159" s="36" t="s">
        <v>112</v>
      </c>
      <c r="F159" s="36" t="s">
        <v>117</v>
      </c>
      <c r="L159" s="42">
        <v>-750</v>
      </c>
    </row>
    <row r="160" spans="2:15" ht="14.4" x14ac:dyDescent="0.3">
      <c r="B160" s="39">
        <v>45404</v>
      </c>
      <c r="D160" s="36" t="s">
        <v>112</v>
      </c>
      <c r="F160" s="36" t="s">
        <v>117</v>
      </c>
      <c r="L160" s="42">
        <v>-750</v>
      </c>
    </row>
    <row r="161" spans="2:12" ht="14.4" x14ac:dyDescent="0.3">
      <c r="B161" s="39">
        <v>45404</v>
      </c>
      <c r="D161" s="36" t="s">
        <v>112</v>
      </c>
      <c r="F161" s="36" t="s">
        <v>114</v>
      </c>
      <c r="L161" s="42">
        <v>-8</v>
      </c>
    </row>
    <row r="162" spans="2:12" ht="14.4" x14ac:dyDescent="0.3">
      <c r="B162" s="39">
        <v>45405</v>
      </c>
      <c r="D162" s="36" t="s">
        <v>112</v>
      </c>
      <c r="F162" s="36" t="s">
        <v>120</v>
      </c>
      <c r="L162" s="42">
        <v>-90</v>
      </c>
    </row>
    <row r="163" spans="2:12" ht="14.4" x14ac:dyDescent="0.3">
      <c r="B163" s="39">
        <v>45405</v>
      </c>
      <c r="D163" s="36" t="s">
        <v>112</v>
      </c>
      <c r="F163" s="36" t="s">
        <v>117</v>
      </c>
      <c r="L163" s="42">
        <v>-500</v>
      </c>
    </row>
    <row r="164" spans="2:12" ht="14.4" x14ac:dyDescent="0.3">
      <c r="B164" s="39">
        <v>45405</v>
      </c>
      <c r="D164" s="36" t="s">
        <v>112</v>
      </c>
      <c r="F164" s="36" t="s">
        <v>115</v>
      </c>
      <c r="L164" s="42">
        <v>-11</v>
      </c>
    </row>
    <row r="165" spans="2:12" ht="14.4" x14ac:dyDescent="0.3">
      <c r="B165" s="39">
        <v>45406</v>
      </c>
      <c r="D165" s="36" t="s">
        <v>112</v>
      </c>
      <c r="F165" s="36" t="s">
        <v>117</v>
      </c>
      <c r="L165" s="42">
        <v>-550</v>
      </c>
    </row>
    <row r="166" spans="2:12" ht="14.4" x14ac:dyDescent="0.3">
      <c r="B166" s="39">
        <v>45407</v>
      </c>
      <c r="D166" s="36" t="s">
        <v>112</v>
      </c>
      <c r="F166" s="36" t="s">
        <v>117</v>
      </c>
      <c r="L166" s="42">
        <v>-250</v>
      </c>
    </row>
    <row r="167" spans="2:12" ht="14.4" x14ac:dyDescent="0.3">
      <c r="B167" s="39">
        <v>45407</v>
      </c>
      <c r="D167" s="36" t="s">
        <v>57</v>
      </c>
      <c r="F167" s="36" t="s">
        <v>70</v>
      </c>
      <c r="L167" s="42">
        <v>-15.22</v>
      </c>
    </row>
    <row r="168" spans="2:12" ht="14.4" x14ac:dyDescent="0.3">
      <c r="B168" s="39">
        <v>45408</v>
      </c>
      <c r="D168" s="36" t="s">
        <v>112</v>
      </c>
      <c r="F168" s="36" t="s">
        <v>117</v>
      </c>
      <c r="L168" s="42">
        <v>-250</v>
      </c>
    </row>
    <row r="169" spans="2:12" ht="14.4" x14ac:dyDescent="0.3">
      <c r="B169" s="39">
        <v>45410</v>
      </c>
      <c r="D169" s="36" t="s">
        <v>112</v>
      </c>
      <c r="F169" s="36" t="s">
        <v>70</v>
      </c>
      <c r="L169" s="42">
        <v>-20.86</v>
      </c>
    </row>
    <row r="170" spans="2:12" ht="14.4" x14ac:dyDescent="0.3">
      <c r="B170" s="39">
        <v>45412</v>
      </c>
      <c r="D170" s="36" t="s">
        <v>112</v>
      </c>
      <c r="F170" s="36" t="s">
        <v>117</v>
      </c>
      <c r="L170" s="42">
        <v>-17.77</v>
      </c>
    </row>
    <row r="171" spans="2:12" ht="14.4" x14ac:dyDescent="0.3">
      <c r="B171" s="39">
        <v>45412</v>
      </c>
      <c r="D171" s="36" t="s">
        <v>112</v>
      </c>
      <c r="F171" s="36" t="s">
        <v>77</v>
      </c>
      <c r="L171" s="42">
        <v>-49</v>
      </c>
    </row>
    <row r="172" spans="2:12" ht="14.4" x14ac:dyDescent="0.3">
      <c r="B172" s="39">
        <v>45414</v>
      </c>
      <c r="D172" s="36" t="s">
        <v>112</v>
      </c>
      <c r="F172" s="36" t="s">
        <v>117</v>
      </c>
      <c r="L172" s="42">
        <v>-250</v>
      </c>
    </row>
    <row r="173" spans="2:12" ht="14.4" x14ac:dyDescent="0.3">
      <c r="B173" s="39">
        <v>45414</v>
      </c>
      <c r="D173" s="36" t="s">
        <v>112</v>
      </c>
      <c r="F173" s="36" t="s">
        <v>121</v>
      </c>
      <c r="L173" s="42">
        <v>-25</v>
      </c>
    </row>
    <row r="174" spans="2:12" ht="14.4" x14ac:dyDescent="0.3">
      <c r="B174" s="39">
        <v>45414</v>
      </c>
      <c r="D174" s="36" t="s">
        <v>112</v>
      </c>
      <c r="F174" s="36" t="s">
        <v>121</v>
      </c>
      <c r="L174" s="42">
        <v>-15</v>
      </c>
    </row>
    <row r="175" spans="2:12" ht="14.4" x14ac:dyDescent="0.3">
      <c r="B175" s="39">
        <v>45414</v>
      </c>
      <c r="D175" s="36" t="s">
        <v>112</v>
      </c>
      <c r="F175" s="36" t="s">
        <v>77</v>
      </c>
      <c r="L175" s="42">
        <v>-47</v>
      </c>
    </row>
    <row r="176" spans="2:12" ht="14.4" x14ac:dyDescent="0.3">
      <c r="B176" s="39">
        <v>45415</v>
      </c>
      <c r="D176" s="36" t="s">
        <v>112</v>
      </c>
      <c r="F176" s="36" t="s">
        <v>117</v>
      </c>
      <c r="L176" s="42">
        <v>-970</v>
      </c>
    </row>
    <row r="177" spans="2:15" ht="14.4" x14ac:dyDescent="0.3">
      <c r="B177" s="39">
        <v>45416</v>
      </c>
      <c r="D177" s="36" t="s">
        <v>112</v>
      </c>
      <c r="F177" s="36" t="s">
        <v>117</v>
      </c>
      <c r="L177" s="42">
        <v>-500</v>
      </c>
    </row>
    <row r="178" spans="2:15" ht="14.4" x14ac:dyDescent="0.3">
      <c r="B178" s="39">
        <v>45416</v>
      </c>
      <c r="D178" s="36" t="s">
        <v>112</v>
      </c>
      <c r="F178" s="36" t="s">
        <v>115</v>
      </c>
      <c r="L178" s="42">
        <v>-50</v>
      </c>
    </row>
    <row r="179" spans="2:15" ht="14.4" x14ac:dyDescent="0.3">
      <c r="B179" s="39">
        <v>45417</v>
      </c>
      <c r="D179" s="36" t="s">
        <v>112</v>
      </c>
      <c r="F179" s="36" t="s">
        <v>117</v>
      </c>
      <c r="L179" s="42">
        <v>-250</v>
      </c>
    </row>
    <row r="180" spans="2:15" ht="14.4" x14ac:dyDescent="0.3">
      <c r="B180" s="39">
        <v>45418</v>
      </c>
      <c r="D180" s="36" t="s">
        <v>112</v>
      </c>
      <c r="F180" s="36" t="s">
        <v>122</v>
      </c>
      <c r="O180" s="42">
        <v>-980</v>
      </c>
    </row>
    <row r="181" spans="2:15" ht="14.4" x14ac:dyDescent="0.3">
      <c r="B181" s="39">
        <v>45418</v>
      </c>
      <c r="D181" s="36" t="s">
        <v>112</v>
      </c>
      <c r="F181" s="36" t="s">
        <v>117</v>
      </c>
      <c r="L181" s="42">
        <v>-250</v>
      </c>
    </row>
    <row r="182" spans="2:15" ht="14.4" x14ac:dyDescent="0.3">
      <c r="B182" s="39">
        <v>45418</v>
      </c>
      <c r="D182" s="36" t="s">
        <v>112</v>
      </c>
      <c r="F182" s="36" t="s">
        <v>70</v>
      </c>
      <c r="L182" s="42">
        <v>-11.65</v>
      </c>
    </row>
    <row r="183" spans="2:15" ht="14.4" x14ac:dyDescent="0.3">
      <c r="B183" s="39">
        <v>45419</v>
      </c>
      <c r="D183" s="36" t="s">
        <v>112</v>
      </c>
      <c r="F183" s="36" t="s">
        <v>117</v>
      </c>
      <c r="L183" s="42">
        <f>-169-3</f>
        <v>-172</v>
      </c>
    </row>
    <row r="184" spans="2:15" ht="14.4" x14ac:dyDescent="0.3">
      <c r="B184" s="39">
        <v>45428</v>
      </c>
      <c r="D184" s="36" t="s">
        <v>57</v>
      </c>
      <c r="F184" s="36" t="s">
        <v>123</v>
      </c>
      <c r="O184" s="42">
        <v>-74</v>
      </c>
    </row>
    <row r="185" spans="2:15" ht="14.4" x14ac:dyDescent="0.3">
      <c r="B185" s="39">
        <v>45431</v>
      </c>
      <c r="D185" s="36" t="s">
        <v>57</v>
      </c>
      <c r="F185" s="36" t="s">
        <v>124</v>
      </c>
      <c r="L185" s="42">
        <v>-2.56</v>
      </c>
    </row>
    <row r="186" spans="2:15" ht="14.4" x14ac:dyDescent="0.3">
      <c r="B186" s="39">
        <v>45432</v>
      </c>
      <c r="D186" s="36" t="s">
        <v>57</v>
      </c>
      <c r="F186" s="36" t="s">
        <v>125</v>
      </c>
      <c r="L186" s="42">
        <v>-8.7899999999999991</v>
      </c>
    </row>
    <row r="187" spans="2:15" ht="14.4" x14ac:dyDescent="0.3">
      <c r="B187" s="39">
        <v>45433</v>
      </c>
      <c r="D187" s="36" t="s">
        <v>112</v>
      </c>
      <c r="F187" s="36" t="s">
        <v>55</v>
      </c>
      <c r="L187" s="42">
        <v>32082</v>
      </c>
    </row>
    <row r="188" spans="2:15" ht="14.4" x14ac:dyDescent="0.3">
      <c r="B188" s="39">
        <v>45437</v>
      </c>
      <c r="D188" s="36" t="s">
        <v>112</v>
      </c>
      <c r="F188" s="36" t="s">
        <v>70</v>
      </c>
      <c r="L188" s="42">
        <v>-15.62</v>
      </c>
    </row>
    <row r="189" spans="2:15" ht="14.4" x14ac:dyDescent="0.3">
      <c r="B189" s="39">
        <v>45440</v>
      </c>
      <c r="D189" s="36" t="s">
        <v>57</v>
      </c>
      <c r="F189" s="36" t="s">
        <v>70</v>
      </c>
      <c r="L189" s="42">
        <v>-21.33</v>
      </c>
    </row>
    <row r="190" spans="2:15" ht="14.4" x14ac:dyDescent="0.3">
      <c r="B190" s="39">
        <v>45443</v>
      </c>
      <c r="D190" s="36" t="s">
        <v>57</v>
      </c>
      <c r="F190" s="36" t="s">
        <v>126</v>
      </c>
      <c r="L190" s="42">
        <f>-16.06-1.24</f>
        <v>-17.299999999999997</v>
      </c>
    </row>
    <row r="191" spans="2:15" ht="14.4" x14ac:dyDescent="0.3">
      <c r="B191" s="39">
        <v>45444</v>
      </c>
      <c r="D191" s="36" t="s">
        <v>112</v>
      </c>
      <c r="F191" s="36" t="s">
        <v>121</v>
      </c>
      <c r="L191" s="42">
        <f>-15-25</f>
        <v>-40</v>
      </c>
    </row>
    <row r="192" spans="2:15" ht="14.4" x14ac:dyDescent="0.3">
      <c r="B192" s="39">
        <v>45447</v>
      </c>
      <c r="D192" s="36" t="s">
        <v>112</v>
      </c>
      <c r="F192" s="36" t="s">
        <v>115</v>
      </c>
      <c r="L192" s="42">
        <v>-50</v>
      </c>
    </row>
    <row r="193" spans="2:15" ht="14.4" x14ac:dyDescent="0.3">
      <c r="B193" s="39">
        <v>45448</v>
      </c>
      <c r="D193" s="36" t="s">
        <v>112</v>
      </c>
      <c r="F193" s="36" t="s">
        <v>127</v>
      </c>
      <c r="O193" s="42">
        <v>-19</v>
      </c>
    </row>
    <row r="194" spans="2:15" ht="14.4" x14ac:dyDescent="0.3">
      <c r="B194" s="39">
        <v>45452</v>
      </c>
      <c r="D194" s="36" t="s">
        <v>57</v>
      </c>
      <c r="F194" s="36" t="s">
        <v>70</v>
      </c>
      <c r="L194" s="42">
        <v>-11.6</v>
      </c>
    </row>
    <row r="195" spans="2:15" ht="14.4" x14ac:dyDescent="0.3">
      <c r="B195" s="39">
        <v>45454</v>
      </c>
      <c r="D195" s="36" t="s">
        <v>112</v>
      </c>
      <c r="F195" s="36" t="s">
        <v>128</v>
      </c>
      <c r="O195" s="42">
        <v>827</v>
      </c>
    </row>
    <row r="196" spans="2:15" ht="14.4" x14ac:dyDescent="0.3">
      <c r="B196" s="39">
        <v>45454</v>
      </c>
      <c r="D196" s="36" t="s">
        <v>112</v>
      </c>
      <c r="F196" s="36" t="s">
        <v>128</v>
      </c>
      <c r="O196" s="42">
        <f>-337-109-74-280</f>
        <v>-800</v>
      </c>
    </row>
    <row r="197" spans="2:15" ht="14.4" x14ac:dyDescent="0.3">
      <c r="B197" s="39">
        <v>45454</v>
      </c>
      <c r="D197" s="36" t="s">
        <v>112</v>
      </c>
      <c r="F197" s="36" t="s">
        <v>129</v>
      </c>
      <c r="I197" s="42">
        <v>-1378</v>
      </c>
    </row>
    <row r="198" spans="2:15" ht="14.4" x14ac:dyDescent="0.3">
      <c r="B198" s="39">
        <v>45454</v>
      </c>
      <c r="D198" s="36" t="s">
        <v>112</v>
      </c>
      <c r="F198" s="36" t="s">
        <v>75</v>
      </c>
      <c r="I198" s="42">
        <v>-3000</v>
      </c>
    </row>
    <row r="199" spans="2:15" ht="14.4" x14ac:dyDescent="0.3">
      <c r="B199" s="39">
        <v>45458</v>
      </c>
      <c r="D199" s="36" t="s">
        <v>57</v>
      </c>
      <c r="F199" s="36" t="s">
        <v>125</v>
      </c>
      <c r="L199" s="42">
        <v>-12</v>
      </c>
    </row>
    <row r="200" spans="2:15" ht="14.4" x14ac:dyDescent="0.3">
      <c r="B200" s="39">
        <v>45459</v>
      </c>
      <c r="D200" s="36" t="s">
        <v>130</v>
      </c>
      <c r="F200" s="36" t="s">
        <v>131</v>
      </c>
      <c r="L200" s="42">
        <v>-38</v>
      </c>
    </row>
    <row r="201" spans="2:15" ht="14.4" x14ac:dyDescent="0.3">
      <c r="B201" s="39">
        <v>45459</v>
      </c>
      <c r="D201" s="36" t="s">
        <v>130</v>
      </c>
      <c r="F201" s="36" t="s">
        <v>77</v>
      </c>
      <c r="L201" s="42">
        <v>-25</v>
      </c>
    </row>
    <row r="202" spans="2:15" ht="14.4" x14ac:dyDescent="0.3">
      <c r="B202" s="39">
        <v>45461</v>
      </c>
      <c r="D202" s="36" t="s">
        <v>132</v>
      </c>
      <c r="F202" s="36" t="s">
        <v>133</v>
      </c>
      <c r="L202" s="42">
        <f>-55-44-76-76</f>
        <v>-251</v>
      </c>
    </row>
    <row r="203" spans="2:15" ht="14.4" x14ac:dyDescent="0.3">
      <c r="B203" s="39">
        <v>45461</v>
      </c>
      <c r="D203" s="36" t="s">
        <v>112</v>
      </c>
      <c r="F203" s="36" t="s">
        <v>55</v>
      </c>
      <c r="L203" s="42">
        <v>8332</v>
      </c>
    </row>
    <row r="204" spans="2:15" ht="14.4" x14ac:dyDescent="0.3">
      <c r="B204" s="39">
        <v>45462</v>
      </c>
      <c r="D204" s="36" t="s">
        <v>130</v>
      </c>
      <c r="F204" s="36" t="s">
        <v>114</v>
      </c>
      <c r="L204" s="42">
        <f>-10-29</f>
        <v>-39</v>
      </c>
    </row>
    <row r="205" spans="2:15" ht="14.4" x14ac:dyDescent="0.3">
      <c r="B205" s="39">
        <v>45463</v>
      </c>
      <c r="D205" s="36" t="s">
        <v>130</v>
      </c>
      <c r="F205" s="36" t="s">
        <v>114</v>
      </c>
      <c r="L205" s="42">
        <v>-19.34</v>
      </c>
    </row>
    <row r="206" spans="2:15" ht="14.4" x14ac:dyDescent="0.3">
      <c r="B206" s="39">
        <v>45465</v>
      </c>
      <c r="D206" s="36" t="s">
        <v>130</v>
      </c>
      <c r="F206" s="36" t="s">
        <v>114</v>
      </c>
      <c r="L206" s="42">
        <v>-12.6</v>
      </c>
    </row>
    <row r="207" spans="2:15" ht="14.4" x14ac:dyDescent="0.3">
      <c r="B207" s="39">
        <v>45466</v>
      </c>
      <c r="D207" s="36" t="s">
        <v>130</v>
      </c>
      <c r="F207" s="36" t="s">
        <v>114</v>
      </c>
      <c r="L207" s="42">
        <v>-31.21</v>
      </c>
    </row>
    <row r="208" spans="2:15" ht="14.4" x14ac:dyDescent="0.3">
      <c r="B208" s="39">
        <v>45467</v>
      </c>
      <c r="D208" s="36" t="s">
        <v>104</v>
      </c>
      <c r="F208" s="36" t="s">
        <v>134</v>
      </c>
      <c r="L208" s="42">
        <v>-6898</v>
      </c>
    </row>
    <row r="209" spans="2:15" ht="14.4" x14ac:dyDescent="0.3">
      <c r="B209" s="39">
        <v>45468</v>
      </c>
      <c r="D209" s="36" t="s">
        <v>130</v>
      </c>
      <c r="F209" s="36" t="s">
        <v>70</v>
      </c>
      <c r="L209" s="42">
        <v>-15</v>
      </c>
    </row>
    <row r="210" spans="2:15" ht="14.4" x14ac:dyDescent="0.3">
      <c r="B210" s="39">
        <v>45468</v>
      </c>
      <c r="D210" s="36" t="s">
        <v>104</v>
      </c>
      <c r="F210" s="36" t="s">
        <v>135</v>
      </c>
      <c r="L210" s="42">
        <v>-6259</v>
      </c>
    </row>
    <row r="211" spans="2:15" ht="14.4" x14ac:dyDescent="0.3">
      <c r="B211" s="39">
        <v>45469</v>
      </c>
      <c r="D211" s="36" t="s">
        <v>130</v>
      </c>
      <c r="F211" s="36" t="s">
        <v>114</v>
      </c>
      <c r="L211" s="42">
        <v>-23</v>
      </c>
    </row>
    <row r="212" spans="2:15" ht="14.4" x14ac:dyDescent="0.3">
      <c r="B212" s="39">
        <v>45469</v>
      </c>
      <c r="D212" s="36" t="s">
        <v>130</v>
      </c>
      <c r="F212" s="36" t="s">
        <v>136</v>
      </c>
      <c r="L212" s="42">
        <v>-45</v>
      </c>
    </row>
    <row r="213" spans="2:15" ht="14.4" x14ac:dyDescent="0.3">
      <c r="B213" s="39">
        <v>45471</v>
      </c>
      <c r="D213" s="36" t="s">
        <v>130</v>
      </c>
      <c r="F213" s="36" t="s">
        <v>70</v>
      </c>
      <c r="L213" s="42">
        <v>-20</v>
      </c>
    </row>
    <row r="214" spans="2:15" ht="14.4" x14ac:dyDescent="0.3">
      <c r="B214" s="39">
        <v>45471</v>
      </c>
      <c r="D214" s="36" t="s">
        <v>130</v>
      </c>
      <c r="F214" s="36" t="s">
        <v>114</v>
      </c>
      <c r="L214" s="42">
        <v>-14</v>
      </c>
    </row>
    <row r="215" spans="2:15" ht="14.4" x14ac:dyDescent="0.3">
      <c r="B215" s="39">
        <v>45472</v>
      </c>
      <c r="D215" s="36" t="s">
        <v>57</v>
      </c>
      <c r="F215" s="36" t="s">
        <v>70</v>
      </c>
      <c r="L215" s="42">
        <v>-20.010000000000002</v>
      </c>
    </row>
    <row r="216" spans="2:15" ht="14.4" x14ac:dyDescent="0.3">
      <c r="B216" s="39">
        <v>45475</v>
      </c>
      <c r="D216" s="36" t="s">
        <v>130</v>
      </c>
      <c r="F216" s="36" t="s">
        <v>137</v>
      </c>
      <c r="L216" s="42">
        <f>-17*250-40</f>
        <v>-4290</v>
      </c>
    </row>
    <row r="217" spans="2:15" ht="14.4" x14ac:dyDescent="0.3">
      <c r="B217" s="39">
        <v>45475</v>
      </c>
      <c r="D217" s="36" t="s">
        <v>130</v>
      </c>
      <c r="F217" s="36" t="s">
        <v>116</v>
      </c>
      <c r="O217" s="42">
        <v>-327</v>
      </c>
    </row>
    <row r="218" spans="2:15" ht="14.4" x14ac:dyDescent="0.3">
      <c r="B218" s="39">
        <v>45475</v>
      </c>
      <c r="D218" s="36" t="s">
        <v>130</v>
      </c>
      <c r="F218" s="36" t="s">
        <v>114</v>
      </c>
      <c r="L218" s="42">
        <v>-17</v>
      </c>
    </row>
    <row r="219" spans="2:15" ht="14.4" x14ac:dyDescent="0.3">
      <c r="B219" s="39">
        <v>45477</v>
      </c>
      <c r="D219" s="36" t="s">
        <v>130</v>
      </c>
      <c r="F219" s="36" t="s">
        <v>115</v>
      </c>
      <c r="L219" s="42">
        <v>-50</v>
      </c>
    </row>
    <row r="220" spans="2:15" ht="14.4" x14ac:dyDescent="0.3">
      <c r="B220" s="39">
        <v>45479</v>
      </c>
      <c r="D220" s="36" t="s">
        <v>57</v>
      </c>
      <c r="F220" s="36" t="s">
        <v>70</v>
      </c>
      <c r="L220" s="42">
        <v>-11.1</v>
      </c>
    </row>
    <row r="221" spans="2:15" ht="14.4" x14ac:dyDescent="0.3">
      <c r="B221" s="39">
        <v>45479</v>
      </c>
      <c r="D221" s="36" t="s">
        <v>130</v>
      </c>
      <c r="F221" s="36" t="s">
        <v>94</v>
      </c>
      <c r="L221" s="42">
        <v>-13</v>
      </c>
    </row>
    <row r="222" spans="2:15" ht="14.4" x14ac:dyDescent="0.3">
      <c r="B222" s="39">
        <v>45481</v>
      </c>
      <c r="D222" s="36" t="s">
        <v>130</v>
      </c>
      <c r="F222" s="36" t="s">
        <v>120</v>
      </c>
      <c r="L222" s="42">
        <v>-132.05000000000001</v>
      </c>
    </row>
    <row r="223" spans="2:15" ht="14.4" x14ac:dyDescent="0.3">
      <c r="B223" s="39">
        <v>45482</v>
      </c>
      <c r="D223" s="36" t="s">
        <v>130</v>
      </c>
      <c r="F223" s="36" t="s">
        <v>94</v>
      </c>
      <c r="L223" s="42">
        <v>-10</v>
      </c>
    </row>
    <row r="224" spans="2:15" ht="14.4" x14ac:dyDescent="0.3">
      <c r="B224" s="39">
        <v>45485</v>
      </c>
      <c r="D224" s="36" t="s">
        <v>130</v>
      </c>
      <c r="F224" s="36" t="s">
        <v>77</v>
      </c>
      <c r="L224" s="42">
        <v>-3.31</v>
      </c>
    </row>
    <row r="225" spans="2:15" ht="14.4" x14ac:dyDescent="0.3">
      <c r="B225" s="39">
        <v>45488</v>
      </c>
      <c r="D225" s="36" t="s">
        <v>57</v>
      </c>
      <c r="F225" s="36" t="s">
        <v>138</v>
      </c>
      <c r="L225" s="42">
        <v>-10.46</v>
      </c>
    </row>
    <row r="226" spans="2:15" ht="14.4" x14ac:dyDescent="0.3">
      <c r="B226" s="39">
        <v>45488</v>
      </c>
      <c r="D226" s="36" t="s">
        <v>130</v>
      </c>
      <c r="F226" s="36" t="s">
        <v>77</v>
      </c>
      <c r="L226" s="42">
        <v>-0.53</v>
      </c>
    </row>
    <row r="227" spans="2:15" ht="14.4" x14ac:dyDescent="0.3">
      <c r="B227" s="39">
        <v>45488</v>
      </c>
      <c r="D227" s="36" t="s">
        <v>130</v>
      </c>
      <c r="F227" s="36" t="s">
        <v>139</v>
      </c>
      <c r="L227" s="42">
        <v>-400</v>
      </c>
    </row>
    <row r="228" spans="2:15" ht="14.4" x14ac:dyDescent="0.3">
      <c r="B228" s="39">
        <v>45489</v>
      </c>
      <c r="D228" s="36" t="s">
        <v>130</v>
      </c>
      <c r="F228" s="36" t="s">
        <v>77</v>
      </c>
      <c r="L228" s="42">
        <v>-99</v>
      </c>
    </row>
    <row r="229" spans="2:15" ht="14.4" x14ac:dyDescent="0.3">
      <c r="B229" s="39">
        <v>45493</v>
      </c>
      <c r="D229" s="36" t="s">
        <v>130</v>
      </c>
      <c r="F229" s="36" t="s">
        <v>94</v>
      </c>
      <c r="L229" s="42">
        <v>-249</v>
      </c>
    </row>
    <row r="230" spans="2:15" ht="14.4" x14ac:dyDescent="0.3">
      <c r="B230" s="39">
        <v>45497</v>
      </c>
      <c r="D230" s="36" t="s">
        <v>57</v>
      </c>
      <c r="F230" s="36" t="s">
        <v>140</v>
      </c>
      <c r="L230" s="42">
        <v>-175</v>
      </c>
    </row>
    <row r="231" spans="2:15" ht="14.4" x14ac:dyDescent="0.3">
      <c r="B231" s="39">
        <v>45498</v>
      </c>
      <c r="D231" s="36" t="s">
        <v>130</v>
      </c>
      <c r="F231" s="36" t="s">
        <v>88</v>
      </c>
      <c r="O231" s="42">
        <f>-305-107</f>
        <v>-412</v>
      </c>
    </row>
    <row r="232" spans="2:15" ht="14.4" x14ac:dyDescent="0.3">
      <c r="B232" s="39">
        <v>45498</v>
      </c>
      <c r="D232" s="36" t="s">
        <v>130</v>
      </c>
      <c r="F232" s="36" t="s">
        <v>70</v>
      </c>
      <c r="L232" s="42">
        <v>-14.81</v>
      </c>
    </row>
    <row r="233" spans="2:15" ht="14.4" x14ac:dyDescent="0.3">
      <c r="B233" s="39">
        <v>45498</v>
      </c>
      <c r="D233" s="36" t="s">
        <v>130</v>
      </c>
      <c r="F233" s="36" t="s">
        <v>91</v>
      </c>
      <c r="O233" s="42">
        <v>-383</v>
      </c>
    </row>
    <row r="234" spans="2:15" ht="14.4" x14ac:dyDescent="0.3">
      <c r="B234" s="39">
        <v>45498</v>
      </c>
      <c r="D234" s="36" t="s">
        <v>130</v>
      </c>
      <c r="F234" s="36" t="s">
        <v>141</v>
      </c>
      <c r="O234" s="42">
        <v>-153</v>
      </c>
    </row>
    <row r="235" spans="2:15" ht="14.4" x14ac:dyDescent="0.3">
      <c r="B235" s="39">
        <v>45498</v>
      </c>
      <c r="D235" s="36" t="s">
        <v>130</v>
      </c>
      <c r="F235" s="36" t="s">
        <v>116</v>
      </c>
      <c r="O235" s="42">
        <v>-92</v>
      </c>
    </row>
    <row r="236" spans="2:15" ht="14.4" x14ac:dyDescent="0.3">
      <c r="B236" s="39">
        <v>45498</v>
      </c>
      <c r="D236" s="36" t="s">
        <v>110</v>
      </c>
      <c r="F236" s="36" t="s">
        <v>142</v>
      </c>
      <c r="L236" s="42">
        <v>112</v>
      </c>
    </row>
    <row r="237" spans="2:15" ht="14.4" x14ac:dyDescent="0.3">
      <c r="B237" s="39">
        <v>45501</v>
      </c>
      <c r="D237" s="36" t="s">
        <v>57</v>
      </c>
      <c r="F237" s="36" t="s">
        <v>70</v>
      </c>
      <c r="L237" s="42">
        <v>-20.49</v>
      </c>
    </row>
    <row r="238" spans="2:15" ht="14.4" x14ac:dyDescent="0.3">
      <c r="B238" s="39">
        <v>45504</v>
      </c>
      <c r="D238" s="36" t="s">
        <v>130</v>
      </c>
      <c r="F238" s="36" t="s">
        <v>137</v>
      </c>
      <c r="L238" s="42">
        <v>-5772</v>
      </c>
    </row>
    <row r="239" spans="2:15" ht="14.4" x14ac:dyDescent="0.3">
      <c r="B239" s="39">
        <v>45504</v>
      </c>
      <c r="D239" s="36" t="s">
        <v>132</v>
      </c>
      <c r="E239" s="36" t="s">
        <v>143</v>
      </c>
      <c r="F239" s="36" t="s">
        <v>144</v>
      </c>
      <c r="L239" s="42">
        <v>-83</v>
      </c>
    </row>
    <row r="240" spans="2:15" ht="14.4" x14ac:dyDescent="0.3">
      <c r="B240" s="39">
        <v>45508</v>
      </c>
      <c r="D240" s="36" t="s">
        <v>130</v>
      </c>
      <c r="F240" s="36" t="s">
        <v>115</v>
      </c>
      <c r="L240" s="42">
        <v>-50</v>
      </c>
    </row>
    <row r="241" spans="2:12" ht="14.4" x14ac:dyDescent="0.3">
      <c r="B241" s="39">
        <v>45510</v>
      </c>
      <c r="D241" s="36" t="s">
        <v>57</v>
      </c>
      <c r="F241" s="36" t="s">
        <v>70</v>
      </c>
      <c r="L241" s="42">
        <v>-11.05</v>
      </c>
    </row>
    <row r="242" spans="2:12" ht="14.4" x14ac:dyDescent="0.3">
      <c r="B242" s="39">
        <v>45520</v>
      </c>
      <c r="D242" s="36" t="s">
        <v>130</v>
      </c>
      <c r="F242" s="36" t="s">
        <v>77</v>
      </c>
      <c r="L242" s="42">
        <v>-99</v>
      </c>
    </row>
    <row r="243" spans="2:12" ht="14.4" x14ac:dyDescent="0.3">
      <c r="B243" s="39">
        <v>45523</v>
      </c>
      <c r="D243" s="36" t="s">
        <v>57</v>
      </c>
      <c r="F243" s="36" t="s">
        <v>145</v>
      </c>
      <c r="L243" s="42">
        <v>-8000</v>
      </c>
    </row>
    <row r="244" spans="2:12" ht="14.4" x14ac:dyDescent="0.3">
      <c r="B244" s="39">
        <v>45526</v>
      </c>
      <c r="D244" s="36" t="s">
        <v>130</v>
      </c>
      <c r="F244" s="36" t="s">
        <v>55</v>
      </c>
      <c r="L244" s="42">
        <v>29209</v>
      </c>
    </row>
    <row r="245" spans="2:12" ht="14.4" x14ac:dyDescent="0.3">
      <c r="B245" s="39">
        <v>45529</v>
      </c>
      <c r="D245" s="36" t="s">
        <v>130</v>
      </c>
      <c r="F245" s="36" t="s">
        <v>70</v>
      </c>
      <c r="L245" s="42">
        <v>-14.75</v>
      </c>
    </row>
    <row r="246" spans="2:12" ht="14.4" x14ac:dyDescent="0.3">
      <c r="B246" s="39">
        <v>45532</v>
      </c>
      <c r="D246" s="36" t="s">
        <v>57</v>
      </c>
      <c r="F246" s="36" t="s">
        <v>70</v>
      </c>
      <c r="L246" s="42">
        <v>-20.56</v>
      </c>
    </row>
    <row r="247" spans="2:12" ht="14.4" x14ac:dyDescent="0.3">
      <c r="B247" s="39">
        <v>45534</v>
      </c>
      <c r="D247" s="36" t="s">
        <v>132</v>
      </c>
      <c r="F247" s="36" t="s">
        <v>137</v>
      </c>
      <c r="L247" s="42">
        <v>-396</v>
      </c>
    </row>
    <row r="248" spans="2:12" ht="14.4" x14ac:dyDescent="0.3">
      <c r="B248" s="39">
        <v>45536</v>
      </c>
      <c r="D248" s="36" t="s">
        <v>130</v>
      </c>
      <c r="F248" s="36" t="s">
        <v>146</v>
      </c>
      <c r="L248" s="42">
        <v>3721</v>
      </c>
    </row>
    <row r="249" spans="2:12" ht="14.4" x14ac:dyDescent="0.3">
      <c r="B249" s="39">
        <v>45539</v>
      </c>
      <c r="D249" s="36" t="s">
        <v>147</v>
      </c>
      <c r="F249" s="36" t="s">
        <v>115</v>
      </c>
      <c r="L249" s="42">
        <v>-50</v>
      </c>
    </row>
    <row r="250" spans="2:12" ht="14.4" x14ac:dyDescent="0.3">
      <c r="B250" s="39">
        <v>45541</v>
      </c>
      <c r="D250" s="36" t="s">
        <v>57</v>
      </c>
      <c r="F250" s="36" t="s">
        <v>70</v>
      </c>
      <c r="L250" s="42">
        <v>-11</v>
      </c>
    </row>
    <row r="251" spans="2:12" ht="14.4" x14ac:dyDescent="0.3">
      <c r="B251" s="39">
        <v>45547</v>
      </c>
      <c r="D251" s="36" t="s">
        <v>130</v>
      </c>
      <c r="F251" s="36" t="s">
        <v>148</v>
      </c>
      <c r="L251" s="42">
        <v>-2903</v>
      </c>
    </row>
    <row r="252" spans="2:12" ht="14.4" x14ac:dyDescent="0.3">
      <c r="B252" s="39">
        <v>45547</v>
      </c>
      <c r="D252" s="36" t="s">
        <v>130</v>
      </c>
      <c r="F252" s="36" t="s">
        <v>105</v>
      </c>
      <c r="L252" s="42">
        <v>-5945</v>
      </c>
    </row>
    <row r="253" spans="2:12" ht="14.4" x14ac:dyDescent="0.3">
      <c r="B253" s="39">
        <v>45547</v>
      </c>
      <c r="D253" s="36" t="s">
        <v>130</v>
      </c>
      <c r="F253" s="36" t="s">
        <v>107</v>
      </c>
      <c r="L253" s="42">
        <v>-5945</v>
      </c>
    </row>
    <row r="254" spans="2:12" ht="14.4" x14ac:dyDescent="0.3">
      <c r="B254" s="39">
        <v>45547</v>
      </c>
      <c r="D254" s="36" t="s">
        <v>130</v>
      </c>
      <c r="F254" s="36" t="s">
        <v>108</v>
      </c>
      <c r="L254" s="42">
        <v>-5945</v>
      </c>
    </row>
    <row r="255" spans="2:12" ht="14.4" x14ac:dyDescent="0.3">
      <c r="B255" s="39">
        <v>45551</v>
      </c>
      <c r="D255" s="36" t="s">
        <v>147</v>
      </c>
      <c r="F255" s="36" t="s">
        <v>121</v>
      </c>
      <c r="L255" s="42">
        <v>-15</v>
      </c>
    </row>
    <row r="256" spans="2:12" ht="14.4" x14ac:dyDescent="0.3">
      <c r="B256" s="39">
        <v>45551</v>
      </c>
      <c r="D256" s="36" t="s">
        <v>147</v>
      </c>
      <c r="F256" s="36" t="s">
        <v>77</v>
      </c>
      <c r="L256" s="42">
        <v>-99</v>
      </c>
    </row>
    <row r="257" spans="2:15" ht="14.4" x14ac:dyDescent="0.3">
      <c r="B257" s="39">
        <v>45553</v>
      </c>
      <c r="D257" s="36" t="s">
        <v>57</v>
      </c>
      <c r="F257" s="36" t="s">
        <v>149</v>
      </c>
      <c r="L257" s="42">
        <v>-10</v>
      </c>
    </row>
    <row r="258" spans="2:15" ht="14.4" x14ac:dyDescent="0.3">
      <c r="B258" s="39">
        <v>45554</v>
      </c>
      <c r="D258" s="36" t="s">
        <v>110</v>
      </c>
      <c r="F258" s="36" t="s">
        <v>150</v>
      </c>
      <c r="L258" s="42">
        <v>932</v>
      </c>
    </row>
    <row r="259" spans="2:15" ht="14.4" x14ac:dyDescent="0.3">
      <c r="B259" s="39">
        <v>45554</v>
      </c>
      <c r="D259" s="36" t="s">
        <v>147</v>
      </c>
      <c r="F259" s="36" t="s">
        <v>151</v>
      </c>
      <c r="L259" s="42">
        <v>-525</v>
      </c>
    </row>
    <row r="260" spans="2:15" ht="14.4" x14ac:dyDescent="0.3">
      <c r="B260" s="39">
        <v>45555</v>
      </c>
      <c r="D260" s="36" t="s">
        <v>147</v>
      </c>
      <c r="F260" s="36" t="s">
        <v>152</v>
      </c>
      <c r="O260" s="42">
        <v>-662</v>
      </c>
    </row>
    <row r="261" spans="2:15" ht="14.4" x14ac:dyDescent="0.3">
      <c r="B261" s="39">
        <v>45558</v>
      </c>
      <c r="D261" s="36" t="s">
        <v>147</v>
      </c>
      <c r="F261" s="36" t="s">
        <v>153</v>
      </c>
      <c r="L261" s="42">
        <v>-99</v>
      </c>
    </row>
    <row r="262" spans="2:15" ht="14.4" x14ac:dyDescent="0.3">
      <c r="B262" s="39">
        <v>45560</v>
      </c>
      <c r="D262" s="36" t="s">
        <v>147</v>
      </c>
      <c r="F262" s="36" t="s">
        <v>70</v>
      </c>
      <c r="L262" s="42">
        <v>-15</v>
      </c>
    </row>
    <row r="263" spans="2:15" ht="14.4" x14ac:dyDescent="0.3">
      <c r="B263" s="39">
        <v>45562</v>
      </c>
      <c r="D263" s="36" t="s">
        <v>132</v>
      </c>
      <c r="F263" s="36" t="s">
        <v>137</v>
      </c>
      <c r="L263" s="42">
        <v>-489</v>
      </c>
    </row>
    <row r="264" spans="2:15" ht="14.4" x14ac:dyDescent="0.3">
      <c r="B264" s="39">
        <v>45563</v>
      </c>
      <c r="D264" s="36" t="s">
        <v>57</v>
      </c>
      <c r="F264" s="36" t="s">
        <v>70</v>
      </c>
      <c r="L264" s="42">
        <v>-19.75</v>
      </c>
    </row>
    <row r="265" spans="2:15" ht="14.4" x14ac:dyDescent="0.3">
      <c r="B265" s="39">
        <v>45564</v>
      </c>
      <c r="D265" s="36" t="s">
        <v>147</v>
      </c>
      <c r="F265" s="36" t="s">
        <v>114</v>
      </c>
      <c r="L265" s="42">
        <v>-10</v>
      </c>
    </row>
    <row r="266" spans="2:15" ht="14.4" x14ac:dyDescent="0.3">
      <c r="B266" s="39">
        <v>45565</v>
      </c>
      <c r="D266" s="36" t="s">
        <v>147</v>
      </c>
      <c r="F266" s="36" t="s">
        <v>137</v>
      </c>
      <c r="L266" s="42">
        <f>-900*4-217</f>
        <v>-3817</v>
      </c>
    </row>
    <row r="267" spans="2:15" ht="14.4" x14ac:dyDescent="0.3">
      <c r="B267" s="39">
        <v>45565</v>
      </c>
      <c r="D267" s="36" t="s">
        <v>147</v>
      </c>
      <c r="F267" s="36" t="s">
        <v>154</v>
      </c>
      <c r="L267" s="42">
        <v>-60</v>
      </c>
    </row>
    <row r="268" spans="2:15" ht="14.4" x14ac:dyDescent="0.3">
      <c r="B268" s="39">
        <v>45566</v>
      </c>
      <c r="D268" s="36" t="s">
        <v>147</v>
      </c>
      <c r="F268" s="36" t="s">
        <v>155</v>
      </c>
      <c r="L268" s="42">
        <v>-24</v>
      </c>
    </row>
    <row r="269" spans="2:15" ht="14.4" x14ac:dyDescent="0.3">
      <c r="B269" s="39">
        <v>45566</v>
      </c>
      <c r="D269" s="36" t="s">
        <v>156</v>
      </c>
      <c r="F269" s="36" t="s">
        <v>157</v>
      </c>
      <c r="L269" s="42">
        <v>-4033</v>
      </c>
    </row>
    <row r="270" spans="2:15" ht="14.4" x14ac:dyDescent="0.3">
      <c r="B270" s="39">
        <v>45567</v>
      </c>
      <c r="D270" s="36" t="s">
        <v>57</v>
      </c>
      <c r="F270" s="36" t="s">
        <v>158</v>
      </c>
      <c r="O270" s="42">
        <f>-190-146</f>
        <v>-336</v>
      </c>
    </row>
    <row r="271" spans="2:15" ht="14.4" x14ac:dyDescent="0.3">
      <c r="B271" s="39">
        <v>45568</v>
      </c>
      <c r="D271" s="36" t="s">
        <v>147</v>
      </c>
      <c r="F271" s="36" t="s">
        <v>114</v>
      </c>
      <c r="L271" s="42">
        <v>-7</v>
      </c>
    </row>
    <row r="272" spans="2:15" ht="14.4" x14ac:dyDescent="0.3">
      <c r="B272" s="39">
        <v>45569</v>
      </c>
      <c r="D272" s="36" t="s">
        <v>147</v>
      </c>
      <c r="F272" s="36" t="s">
        <v>115</v>
      </c>
      <c r="L272" s="42">
        <v>-50</v>
      </c>
    </row>
    <row r="273" spans="2:15" ht="14.4" x14ac:dyDescent="0.3">
      <c r="B273" s="39">
        <v>45570</v>
      </c>
      <c r="D273" s="36" t="s">
        <v>147</v>
      </c>
      <c r="F273" s="36" t="s">
        <v>159</v>
      </c>
      <c r="L273" s="42">
        <v>-1000</v>
      </c>
    </row>
    <row r="274" spans="2:15" ht="14.4" x14ac:dyDescent="0.3">
      <c r="B274" s="39">
        <v>45571</v>
      </c>
      <c r="D274" s="36" t="s">
        <v>147</v>
      </c>
      <c r="F274" s="36" t="s">
        <v>120</v>
      </c>
      <c r="L274" s="42">
        <v>-132</v>
      </c>
    </row>
    <row r="275" spans="2:15" ht="14.4" x14ac:dyDescent="0.3">
      <c r="B275" s="39">
        <v>45571</v>
      </c>
      <c r="D275" s="36" t="s">
        <v>147</v>
      </c>
      <c r="F275" s="36" t="s">
        <v>137</v>
      </c>
      <c r="L275" s="42">
        <v>-5480</v>
      </c>
    </row>
    <row r="276" spans="2:15" ht="14.4" x14ac:dyDescent="0.3">
      <c r="B276" s="39">
        <v>45572</v>
      </c>
      <c r="D276" s="36" t="s">
        <v>57</v>
      </c>
      <c r="F276" s="36" t="s">
        <v>125</v>
      </c>
      <c r="L276" s="42">
        <v>-11</v>
      </c>
    </row>
    <row r="277" spans="2:15" ht="14.4" x14ac:dyDescent="0.3">
      <c r="B277" s="39">
        <v>45575</v>
      </c>
      <c r="D277" s="36" t="s">
        <v>147</v>
      </c>
      <c r="F277" s="36" t="s">
        <v>139</v>
      </c>
      <c r="L277" s="42">
        <v>-88</v>
      </c>
    </row>
    <row r="278" spans="2:15" ht="14.4" x14ac:dyDescent="0.3">
      <c r="B278" s="39">
        <v>45575</v>
      </c>
      <c r="D278" s="36" t="s">
        <v>147</v>
      </c>
      <c r="F278" s="36" t="s">
        <v>160</v>
      </c>
      <c r="L278" s="42">
        <v>-250</v>
      </c>
    </row>
    <row r="279" spans="2:15" ht="14.4" x14ac:dyDescent="0.3">
      <c r="B279" s="39">
        <v>45577</v>
      </c>
      <c r="D279" s="36" t="s">
        <v>147</v>
      </c>
      <c r="F279" s="36" t="s">
        <v>116</v>
      </c>
      <c r="O279" s="42">
        <v>-104</v>
      </c>
    </row>
    <row r="280" spans="2:15" ht="14.4" x14ac:dyDescent="0.3">
      <c r="B280" s="39">
        <v>45578</v>
      </c>
      <c r="D280" s="36" t="s">
        <v>147</v>
      </c>
      <c r="F280" s="36" t="s">
        <v>114</v>
      </c>
      <c r="L280" s="42">
        <v>-153</v>
      </c>
    </row>
    <row r="281" spans="2:15" ht="14.4" x14ac:dyDescent="0.3">
      <c r="B281" s="39">
        <v>45581</v>
      </c>
      <c r="D281" s="36" t="s">
        <v>147</v>
      </c>
      <c r="F281" s="36" t="s">
        <v>121</v>
      </c>
      <c r="L281" s="42">
        <v>-34</v>
      </c>
    </row>
    <row r="282" spans="2:15" ht="14.4" x14ac:dyDescent="0.3">
      <c r="B282" s="39">
        <v>45581</v>
      </c>
      <c r="D282" s="36" t="s">
        <v>110</v>
      </c>
      <c r="F282" s="36" t="s">
        <v>55</v>
      </c>
      <c r="L282" s="42">
        <v>409</v>
      </c>
    </row>
    <row r="283" spans="2:15" ht="14.4" x14ac:dyDescent="0.3">
      <c r="B283" s="39">
        <v>45581</v>
      </c>
      <c r="D283" s="36" t="s">
        <v>147</v>
      </c>
      <c r="F283" s="36" t="s">
        <v>77</v>
      </c>
      <c r="L283" s="42">
        <v>-298</v>
      </c>
    </row>
    <row r="284" spans="2:15" ht="14.4" x14ac:dyDescent="0.3">
      <c r="B284" s="39">
        <v>45590</v>
      </c>
      <c r="D284" s="36" t="s">
        <v>147</v>
      </c>
      <c r="F284" s="36" t="s">
        <v>70</v>
      </c>
      <c r="L284" s="42">
        <v>-14</v>
      </c>
    </row>
    <row r="285" spans="2:15" ht="14.4" x14ac:dyDescent="0.3">
      <c r="B285" s="39">
        <v>45590</v>
      </c>
      <c r="D285" s="36" t="s">
        <v>57</v>
      </c>
      <c r="F285" s="36" t="s">
        <v>161</v>
      </c>
      <c r="L285" s="42">
        <v>-10</v>
      </c>
    </row>
    <row r="286" spans="2:15" ht="14.4" x14ac:dyDescent="0.3">
      <c r="B286" s="39">
        <v>45593</v>
      </c>
      <c r="D286" s="36" t="s">
        <v>57</v>
      </c>
      <c r="F286" s="36" t="s">
        <v>70</v>
      </c>
      <c r="L286" s="42">
        <v>-12</v>
      </c>
    </row>
    <row r="287" spans="2:15" ht="14.4" x14ac:dyDescent="0.3">
      <c r="B287" s="39">
        <v>45594</v>
      </c>
      <c r="D287" s="36" t="s">
        <v>147</v>
      </c>
      <c r="F287" s="36" t="s">
        <v>162</v>
      </c>
      <c r="O287" s="42">
        <v>-1064</v>
      </c>
    </row>
    <row r="288" spans="2:15" ht="14.4" x14ac:dyDescent="0.3">
      <c r="B288" s="39">
        <v>45595</v>
      </c>
      <c r="D288" s="36" t="s">
        <v>57</v>
      </c>
      <c r="F288" s="36" t="s">
        <v>70</v>
      </c>
      <c r="L288" s="42">
        <v>-20</v>
      </c>
    </row>
    <row r="289" spans="2:15" ht="14.4" x14ac:dyDescent="0.3">
      <c r="B289" s="39">
        <v>45597</v>
      </c>
      <c r="D289" s="36" t="s">
        <v>163</v>
      </c>
      <c r="F289" s="36" t="s">
        <v>155</v>
      </c>
      <c r="L289" s="42">
        <v>-12</v>
      </c>
    </row>
    <row r="290" spans="2:15" ht="14.4" x14ac:dyDescent="0.3">
      <c r="B290" s="39">
        <v>45600</v>
      </c>
      <c r="D290" s="36" t="s">
        <v>163</v>
      </c>
      <c r="F290" s="36" t="s">
        <v>115</v>
      </c>
      <c r="L290" s="42">
        <v>-50</v>
      </c>
    </row>
    <row r="291" spans="2:15" ht="14.4" x14ac:dyDescent="0.3">
      <c r="B291" s="39">
        <v>45601</v>
      </c>
      <c r="D291" s="36" t="s">
        <v>163</v>
      </c>
      <c r="F291" s="36" t="s">
        <v>120</v>
      </c>
      <c r="L291" s="42">
        <v>-126</v>
      </c>
    </row>
    <row r="292" spans="2:15" ht="14.4" x14ac:dyDescent="0.3">
      <c r="B292" s="39">
        <v>45602</v>
      </c>
      <c r="D292" s="36" t="s">
        <v>57</v>
      </c>
      <c r="F292" s="36" t="s">
        <v>70</v>
      </c>
      <c r="L292" s="42">
        <v>-11</v>
      </c>
    </row>
    <row r="293" spans="2:15" ht="14.4" x14ac:dyDescent="0.3">
      <c r="B293" s="39">
        <v>45602</v>
      </c>
      <c r="D293" s="36" t="s">
        <v>147</v>
      </c>
      <c r="F293" s="36" t="s">
        <v>55</v>
      </c>
      <c r="K293" s="42">
        <v>-19997</v>
      </c>
      <c r="L293" s="42">
        <v>19997</v>
      </c>
    </row>
    <row r="294" spans="2:15" ht="14.4" x14ac:dyDescent="0.3">
      <c r="B294" s="39">
        <v>45604</v>
      </c>
      <c r="D294" s="36" t="s">
        <v>147</v>
      </c>
      <c r="F294" s="36" t="s">
        <v>164</v>
      </c>
      <c r="L294" s="42">
        <v>-2326</v>
      </c>
    </row>
    <row r="295" spans="2:15" ht="14.4" x14ac:dyDescent="0.3">
      <c r="B295" s="39">
        <v>45604</v>
      </c>
      <c r="D295" s="36" t="s">
        <v>147</v>
      </c>
      <c r="F295" s="36" t="s">
        <v>165</v>
      </c>
      <c r="L295" s="42">
        <v>-3910</v>
      </c>
    </row>
    <row r="296" spans="2:15" ht="14.4" x14ac:dyDescent="0.3">
      <c r="B296" s="39">
        <v>45604</v>
      </c>
      <c r="D296" s="36" t="s">
        <v>147</v>
      </c>
      <c r="F296" s="36" t="s">
        <v>166</v>
      </c>
      <c r="J296" s="42">
        <v>-3320</v>
      </c>
      <c r="L296" s="42">
        <v>-609</v>
      </c>
    </row>
    <row r="297" spans="2:15" ht="14.4" x14ac:dyDescent="0.3">
      <c r="B297" s="39">
        <v>45604</v>
      </c>
      <c r="D297" s="36" t="s">
        <v>147</v>
      </c>
      <c r="F297" s="36" t="s">
        <v>167</v>
      </c>
      <c r="L297" s="42">
        <v>-3910</v>
      </c>
    </row>
    <row r="298" spans="2:15" ht="14.4" x14ac:dyDescent="0.3">
      <c r="B298" s="39">
        <v>45604</v>
      </c>
      <c r="D298" s="36" t="s">
        <v>147</v>
      </c>
      <c r="F298" s="36" t="s">
        <v>168</v>
      </c>
      <c r="J298" s="42">
        <v>3320</v>
      </c>
      <c r="K298" s="42">
        <v>24533</v>
      </c>
      <c r="O298" s="42">
        <v>247</v>
      </c>
    </row>
    <row r="299" spans="2:15" ht="14.4" x14ac:dyDescent="0.3">
      <c r="B299" s="39">
        <v>45605</v>
      </c>
      <c r="D299" s="36" t="s">
        <v>57</v>
      </c>
      <c r="F299" s="36" t="s">
        <v>125</v>
      </c>
      <c r="L299" s="42">
        <v>-9</v>
      </c>
    </row>
    <row r="300" spans="2:15" ht="14.4" x14ac:dyDescent="0.3">
      <c r="B300" s="39">
        <v>45606</v>
      </c>
      <c r="D300" s="36" t="s">
        <v>163</v>
      </c>
      <c r="F300" s="36" t="s">
        <v>137</v>
      </c>
      <c r="L300" s="42">
        <f>-10300-33</f>
        <v>-10333</v>
      </c>
    </row>
    <row r="301" spans="2:15" ht="14.4" x14ac:dyDescent="0.3">
      <c r="B301" s="39">
        <v>45610</v>
      </c>
      <c r="D301" s="36" t="s">
        <v>163</v>
      </c>
      <c r="F301" s="36" t="s">
        <v>72</v>
      </c>
      <c r="L301" s="42">
        <v>-10</v>
      </c>
    </row>
    <row r="302" spans="2:15" ht="14.4" x14ac:dyDescent="0.3">
      <c r="B302" s="39">
        <v>45610</v>
      </c>
      <c r="D302" s="36" t="s">
        <v>110</v>
      </c>
      <c r="F302" s="36" t="s">
        <v>55</v>
      </c>
      <c r="K302" s="42">
        <v>-2928</v>
      </c>
      <c r="L302" s="42">
        <v>2928</v>
      </c>
    </row>
    <row r="303" spans="2:15" ht="14.4" x14ac:dyDescent="0.3">
      <c r="B303" s="39">
        <v>45611</v>
      </c>
      <c r="D303" s="36" t="s">
        <v>163</v>
      </c>
      <c r="F303" s="36" t="s">
        <v>169</v>
      </c>
      <c r="L303" s="42">
        <v>-500</v>
      </c>
    </row>
    <row r="304" spans="2:15" ht="14.4" x14ac:dyDescent="0.3">
      <c r="B304" s="39">
        <v>45612</v>
      </c>
      <c r="D304" s="36" t="s">
        <v>57</v>
      </c>
      <c r="F304" s="36" t="s">
        <v>125</v>
      </c>
      <c r="L304" s="42">
        <v>-15</v>
      </c>
    </row>
    <row r="305" spans="2:15" ht="14.4" x14ac:dyDescent="0.3">
      <c r="B305" s="39">
        <v>45613</v>
      </c>
      <c r="D305" s="36" t="s">
        <v>163</v>
      </c>
      <c r="F305" s="36" t="s">
        <v>121</v>
      </c>
      <c r="L305" s="42">
        <f>-25-10</f>
        <v>-35</v>
      </c>
    </row>
    <row r="306" spans="2:15" ht="14.4" x14ac:dyDescent="0.3">
      <c r="B306" s="39">
        <v>45617</v>
      </c>
      <c r="D306" s="36" t="s">
        <v>147</v>
      </c>
      <c r="F306" s="36" t="s">
        <v>170</v>
      </c>
      <c r="L306" s="42">
        <v>435</v>
      </c>
    </row>
    <row r="307" spans="2:15" ht="14.4" x14ac:dyDescent="0.3">
      <c r="B307" s="39">
        <v>45619</v>
      </c>
      <c r="D307" s="36" t="s">
        <v>163</v>
      </c>
      <c r="F307" s="36" t="s">
        <v>114</v>
      </c>
      <c r="L307" s="42">
        <f>-76-19-12-17-14</f>
        <v>-138</v>
      </c>
    </row>
    <row r="308" spans="2:15" ht="14.4" x14ac:dyDescent="0.3">
      <c r="B308" s="39">
        <v>45621</v>
      </c>
      <c r="D308" s="36" t="s">
        <v>163</v>
      </c>
      <c r="F308" s="36" t="s">
        <v>70</v>
      </c>
      <c r="L308" s="42">
        <v>-14</v>
      </c>
    </row>
    <row r="309" spans="2:15" ht="14.4" x14ac:dyDescent="0.3">
      <c r="B309" s="39">
        <v>45622</v>
      </c>
      <c r="D309" s="36" t="s">
        <v>163</v>
      </c>
      <c r="F309" s="36" t="s">
        <v>77</v>
      </c>
      <c r="L309" s="42">
        <v>-42</v>
      </c>
    </row>
    <row r="310" spans="2:15" ht="14.4" x14ac:dyDescent="0.3">
      <c r="B310" s="39">
        <v>45623</v>
      </c>
      <c r="D310" s="36" t="s">
        <v>163</v>
      </c>
      <c r="F310" s="36" t="s">
        <v>171</v>
      </c>
      <c r="L310" s="42">
        <f>-15-6-6-6-6-6-6-6-6</f>
        <v>-63</v>
      </c>
    </row>
    <row r="311" spans="2:15" ht="14.4" x14ac:dyDescent="0.3">
      <c r="B311" s="39">
        <v>45624</v>
      </c>
      <c r="D311" s="36" t="s">
        <v>57</v>
      </c>
      <c r="F311" s="36" t="s">
        <v>70</v>
      </c>
      <c r="L311" s="42">
        <v>-19</v>
      </c>
    </row>
    <row r="312" spans="2:15" ht="14.4" x14ac:dyDescent="0.3">
      <c r="B312" s="39">
        <v>45626</v>
      </c>
      <c r="D312" s="36" t="s">
        <v>163</v>
      </c>
      <c r="F312" s="36" t="s">
        <v>172</v>
      </c>
      <c r="L312" s="42">
        <v>-15</v>
      </c>
    </row>
    <row r="313" spans="2:15" ht="14.4" x14ac:dyDescent="0.3">
      <c r="B313" s="39">
        <v>45630</v>
      </c>
      <c r="D313" s="36" t="s">
        <v>163</v>
      </c>
      <c r="F313" s="36" t="s">
        <v>115</v>
      </c>
      <c r="L313" s="42">
        <v>-50</v>
      </c>
    </row>
    <row r="314" spans="2:15" ht="14.4" x14ac:dyDescent="0.3">
      <c r="B314" s="39">
        <v>45631</v>
      </c>
      <c r="D314" s="36" t="s">
        <v>173</v>
      </c>
      <c r="F314" s="36" t="s">
        <v>174</v>
      </c>
      <c r="L314" s="42">
        <v>-15</v>
      </c>
    </row>
    <row r="315" spans="2:15" ht="14.4" x14ac:dyDescent="0.3">
      <c r="B315" s="39">
        <v>45632</v>
      </c>
      <c r="D315" s="36" t="s">
        <v>57</v>
      </c>
      <c r="F315" s="36" t="s">
        <v>125</v>
      </c>
      <c r="L315" s="42">
        <v>-10.67</v>
      </c>
    </row>
    <row r="316" spans="2:15" ht="14.4" x14ac:dyDescent="0.3">
      <c r="B316" s="39">
        <v>45632</v>
      </c>
      <c r="D316" s="36" t="s">
        <v>163</v>
      </c>
      <c r="F316" s="36" t="s">
        <v>70</v>
      </c>
      <c r="L316" s="42">
        <v>-11</v>
      </c>
    </row>
    <row r="317" spans="2:15" ht="14.4" x14ac:dyDescent="0.3">
      <c r="B317" s="39">
        <v>45632</v>
      </c>
      <c r="D317" s="36" t="s">
        <v>173</v>
      </c>
      <c r="F317" s="36" t="s">
        <v>175</v>
      </c>
      <c r="L317" s="42">
        <v>-2</v>
      </c>
    </row>
    <row r="318" spans="2:15" ht="14.4" x14ac:dyDescent="0.3">
      <c r="B318" s="39">
        <v>45633</v>
      </c>
      <c r="D318" s="36" t="s">
        <v>163</v>
      </c>
      <c r="F318" s="36" t="s">
        <v>120</v>
      </c>
      <c r="L318" s="42">
        <v>-121</v>
      </c>
    </row>
    <row r="319" spans="2:15" ht="14.4" x14ac:dyDescent="0.3">
      <c r="B319" s="39">
        <v>45633</v>
      </c>
      <c r="D319" s="36" t="s">
        <v>147</v>
      </c>
      <c r="F319" s="36" t="s">
        <v>176</v>
      </c>
      <c r="O319" s="42">
        <v>-106</v>
      </c>
    </row>
    <row r="320" spans="2:15" ht="14.4" x14ac:dyDescent="0.3">
      <c r="B320" s="39">
        <v>45634</v>
      </c>
      <c r="D320" s="36" t="s">
        <v>173</v>
      </c>
      <c r="F320" s="36" t="s">
        <v>175</v>
      </c>
      <c r="L320" s="42">
        <v>-2</v>
      </c>
    </row>
    <row r="321" spans="2:15" ht="14.4" x14ac:dyDescent="0.3">
      <c r="B321" s="39">
        <v>45640</v>
      </c>
      <c r="D321" s="36" t="s">
        <v>57</v>
      </c>
      <c r="F321" s="36" t="s">
        <v>125</v>
      </c>
      <c r="L321" s="42">
        <v>-7</v>
      </c>
    </row>
    <row r="322" spans="2:15" ht="14.4" x14ac:dyDescent="0.3">
      <c r="B322" s="39">
        <v>45641</v>
      </c>
      <c r="D322" s="36" t="s">
        <v>163</v>
      </c>
      <c r="F322" s="36" t="s">
        <v>70</v>
      </c>
      <c r="L322" s="42">
        <v>-28</v>
      </c>
    </row>
    <row r="323" spans="2:15" ht="14.4" x14ac:dyDescent="0.3">
      <c r="B323" s="39">
        <v>45645</v>
      </c>
      <c r="D323" s="36" t="s">
        <v>177</v>
      </c>
      <c r="F323" s="36" t="s">
        <v>137</v>
      </c>
      <c r="L323" s="42">
        <v>-319</v>
      </c>
    </row>
    <row r="324" spans="2:15" ht="14.4" x14ac:dyDescent="0.3">
      <c r="B324" s="39">
        <v>45645</v>
      </c>
      <c r="D324" s="36" t="s">
        <v>110</v>
      </c>
      <c r="F324" s="36" t="s">
        <v>55</v>
      </c>
      <c r="K324" s="42">
        <v>-22208</v>
      </c>
      <c r="L324" s="42">
        <v>22208</v>
      </c>
    </row>
    <row r="325" spans="2:15" ht="14.4" x14ac:dyDescent="0.3">
      <c r="B325" s="39">
        <v>45646</v>
      </c>
      <c r="D325" s="36" t="s">
        <v>177</v>
      </c>
      <c r="F325" s="36" t="s">
        <v>137</v>
      </c>
      <c r="L325" s="42">
        <v>-73</v>
      </c>
    </row>
    <row r="326" spans="2:15" ht="14.4" x14ac:dyDescent="0.3">
      <c r="B326" s="39">
        <v>45649</v>
      </c>
      <c r="D326" s="36" t="s">
        <v>163</v>
      </c>
      <c r="F326" s="36" t="s">
        <v>178</v>
      </c>
      <c r="L326" s="42">
        <v>-666</v>
      </c>
    </row>
    <row r="327" spans="2:15" ht="14.4" x14ac:dyDescent="0.3">
      <c r="B327" s="39">
        <v>45649</v>
      </c>
      <c r="D327" s="36" t="s">
        <v>163</v>
      </c>
      <c r="F327" s="36" t="s">
        <v>179</v>
      </c>
      <c r="L327" s="42">
        <v>-1877</v>
      </c>
      <c r="O327" s="42">
        <v>-87</v>
      </c>
    </row>
    <row r="328" spans="2:15" ht="14.4" x14ac:dyDescent="0.3">
      <c r="B328" s="39">
        <v>45649</v>
      </c>
      <c r="D328" s="36" t="s">
        <v>177</v>
      </c>
      <c r="F328" s="36" t="s">
        <v>137</v>
      </c>
      <c r="L328" s="42">
        <v>-438</v>
      </c>
    </row>
    <row r="329" spans="2:15" ht="14.4" x14ac:dyDescent="0.3">
      <c r="B329" s="39">
        <v>45649</v>
      </c>
      <c r="D329" s="36" t="s">
        <v>57</v>
      </c>
      <c r="F329" s="36" t="s">
        <v>180</v>
      </c>
      <c r="L329" s="42">
        <v>-238</v>
      </c>
    </row>
    <row r="330" spans="2:15" ht="14.4" x14ac:dyDescent="0.3">
      <c r="B330" s="39">
        <v>45650</v>
      </c>
      <c r="D330" s="36" t="s">
        <v>57</v>
      </c>
      <c r="F330" s="36" t="s">
        <v>181</v>
      </c>
      <c r="L330" s="42">
        <v>-1219</v>
      </c>
    </row>
    <row r="331" spans="2:15" ht="14.4" x14ac:dyDescent="0.3">
      <c r="B331" s="39">
        <v>45652</v>
      </c>
      <c r="D331" s="36" t="s">
        <v>177</v>
      </c>
      <c r="F331" s="36" t="s">
        <v>137</v>
      </c>
      <c r="L331" s="42">
        <v>-311</v>
      </c>
    </row>
    <row r="332" spans="2:15" ht="14.4" x14ac:dyDescent="0.3">
      <c r="B332" s="39">
        <v>45652</v>
      </c>
      <c r="D332" s="36" t="s">
        <v>163</v>
      </c>
      <c r="F332" s="36" t="s">
        <v>168</v>
      </c>
      <c r="J332" s="42">
        <v>3185</v>
      </c>
      <c r="K332" s="42">
        <v>24472</v>
      </c>
    </row>
    <row r="333" spans="2:15" ht="14.4" x14ac:dyDescent="0.3">
      <c r="B333" s="39">
        <v>45653</v>
      </c>
      <c r="D333" s="36" t="s">
        <v>57</v>
      </c>
      <c r="F333" s="36" t="s">
        <v>70</v>
      </c>
      <c r="L333" s="42">
        <v>-10</v>
      </c>
    </row>
    <row r="334" spans="2:15" ht="14.4" x14ac:dyDescent="0.3">
      <c r="B334" s="39">
        <v>45653</v>
      </c>
      <c r="D334" s="36" t="s">
        <v>57</v>
      </c>
      <c r="F334" s="36" t="s">
        <v>70</v>
      </c>
      <c r="L334" s="42">
        <v>-17</v>
      </c>
    </row>
    <row r="335" spans="2:15" ht="14.4" x14ac:dyDescent="0.3">
      <c r="B335" s="39">
        <v>45653</v>
      </c>
      <c r="D335" s="36" t="s">
        <v>173</v>
      </c>
      <c r="F335" s="36" t="s">
        <v>70</v>
      </c>
      <c r="L335" s="42">
        <v>-28</v>
      </c>
    </row>
    <row r="336" spans="2:15" ht="14.4" x14ac:dyDescent="0.3">
      <c r="B336" s="39">
        <v>45653</v>
      </c>
      <c r="D336" s="36" t="s">
        <v>173</v>
      </c>
      <c r="F336" s="36" t="s">
        <v>70</v>
      </c>
      <c r="L336" s="42">
        <v>-19</v>
      </c>
    </row>
    <row r="337" spans="2:12" ht="14.4" x14ac:dyDescent="0.3">
      <c r="B337" s="39">
        <v>45653</v>
      </c>
      <c r="D337" s="36" t="s">
        <v>57</v>
      </c>
      <c r="F337" s="36" t="s">
        <v>157</v>
      </c>
      <c r="L337" s="42">
        <v>-2030</v>
      </c>
    </row>
    <row r="338" spans="2:12" ht="14.4" x14ac:dyDescent="0.3">
      <c r="B338" s="39">
        <v>45653</v>
      </c>
      <c r="D338" s="36" t="s">
        <v>177</v>
      </c>
      <c r="F338" s="36" t="s">
        <v>168</v>
      </c>
      <c r="K338" s="42">
        <v>2085</v>
      </c>
    </row>
    <row r="339" spans="2:12" ht="14.4" x14ac:dyDescent="0.3">
      <c r="B339" s="39">
        <v>45653</v>
      </c>
      <c r="D339" s="36" t="s">
        <v>57</v>
      </c>
      <c r="F339" s="36" t="s">
        <v>182</v>
      </c>
      <c r="K339" s="42">
        <v>316</v>
      </c>
    </row>
    <row r="340" spans="2:12" ht="14.4" x14ac:dyDescent="0.3">
      <c r="B340" s="39">
        <v>45654</v>
      </c>
      <c r="D340" s="36" t="s">
        <v>57</v>
      </c>
      <c r="F340" s="36" t="s">
        <v>70</v>
      </c>
      <c r="L340" s="42">
        <v>-28</v>
      </c>
    </row>
    <row r="341" spans="2:12" ht="14.4" x14ac:dyDescent="0.3">
      <c r="B341" s="39">
        <v>45654</v>
      </c>
      <c r="D341" s="36" t="s">
        <v>57</v>
      </c>
      <c r="F341" s="36" t="s">
        <v>70</v>
      </c>
      <c r="L341" s="42">
        <v>-17</v>
      </c>
    </row>
    <row r="342" spans="2:12" ht="14.4" x14ac:dyDescent="0.3">
      <c r="B342" s="39">
        <v>45654</v>
      </c>
      <c r="D342" s="36" t="s">
        <v>173</v>
      </c>
      <c r="F342" s="36" t="s">
        <v>70</v>
      </c>
      <c r="L342" s="42">
        <v>-19</v>
      </c>
    </row>
    <row r="343" spans="2:12" ht="14.4" x14ac:dyDescent="0.3">
      <c r="B343" s="39">
        <v>45654</v>
      </c>
      <c r="D343" s="36" t="s">
        <v>183</v>
      </c>
      <c r="F343" s="36" t="s">
        <v>70</v>
      </c>
      <c r="L343" s="42">
        <v>-10</v>
      </c>
    </row>
    <row r="344" spans="2:12" ht="14.4" x14ac:dyDescent="0.3">
      <c r="B344" s="39">
        <v>45654</v>
      </c>
      <c r="D344" s="36" t="s">
        <v>163</v>
      </c>
      <c r="F344" s="36" t="s">
        <v>164</v>
      </c>
      <c r="L344" s="42">
        <v>-2326</v>
      </c>
    </row>
    <row r="345" spans="2:12" ht="14.4" x14ac:dyDescent="0.3">
      <c r="B345" s="39">
        <v>45654</v>
      </c>
      <c r="D345" s="36" t="s">
        <v>163</v>
      </c>
      <c r="F345" s="36" t="s">
        <v>165</v>
      </c>
      <c r="L345" s="42">
        <v>-4031</v>
      </c>
    </row>
    <row r="346" spans="2:12" ht="14.4" x14ac:dyDescent="0.3">
      <c r="B346" s="39">
        <v>45654</v>
      </c>
      <c r="D346" s="36" t="s">
        <v>163</v>
      </c>
      <c r="F346" s="36" t="s">
        <v>166</v>
      </c>
      <c r="J346" s="42">
        <v>-3185</v>
      </c>
      <c r="L346" s="42">
        <v>-850</v>
      </c>
    </row>
    <row r="347" spans="2:12" ht="14.4" x14ac:dyDescent="0.3">
      <c r="B347" s="39">
        <v>45654</v>
      </c>
      <c r="D347" s="36" t="s">
        <v>163</v>
      </c>
      <c r="F347" s="36" t="s">
        <v>167</v>
      </c>
      <c r="L347" s="42">
        <v>-4031</v>
      </c>
    </row>
    <row r="348" spans="2:12" ht="14.4" x14ac:dyDescent="0.3">
      <c r="B348" s="39">
        <v>45654</v>
      </c>
      <c r="D348" s="36" t="s">
        <v>163</v>
      </c>
      <c r="F348" s="36" t="s">
        <v>184</v>
      </c>
      <c r="L348" s="42">
        <v>942</v>
      </c>
    </row>
    <row r="349" spans="2:12" ht="14.4" x14ac:dyDescent="0.3">
      <c r="B349" s="39">
        <v>45655</v>
      </c>
      <c r="D349" s="36" t="s">
        <v>177</v>
      </c>
      <c r="F349" s="36" t="s">
        <v>137</v>
      </c>
      <c r="L349" s="42">
        <v>-630</v>
      </c>
    </row>
    <row r="350" spans="2:12" ht="14.4" x14ac:dyDescent="0.3">
      <c r="B350" s="39">
        <v>45657</v>
      </c>
      <c r="D350" s="36" t="s">
        <v>177</v>
      </c>
      <c r="F350" s="36" t="s">
        <v>137</v>
      </c>
      <c r="L350" s="42">
        <v>-310</v>
      </c>
    </row>
    <row r="351" spans="2:12" ht="14.4" x14ac:dyDescent="0.3">
      <c r="B351" s="39">
        <v>45659</v>
      </c>
      <c r="D351" s="36" t="s">
        <v>177</v>
      </c>
      <c r="F351" s="36" t="s">
        <v>137</v>
      </c>
      <c r="L351" s="42">
        <v>-261</v>
      </c>
    </row>
    <row r="352" spans="2:12" ht="14.4" x14ac:dyDescent="0.3">
      <c r="B352" s="39">
        <v>45659</v>
      </c>
      <c r="D352" s="36" t="s">
        <v>57</v>
      </c>
      <c r="F352" s="36" t="s">
        <v>185</v>
      </c>
      <c r="L352" s="42">
        <v>7</v>
      </c>
    </row>
    <row r="353" spans="2:12" ht="14.4" x14ac:dyDescent="0.3">
      <c r="B353" s="39">
        <v>45661</v>
      </c>
      <c r="D353" s="36" t="s">
        <v>177</v>
      </c>
      <c r="F353" s="36" t="s">
        <v>137</v>
      </c>
      <c r="L353" s="42">
        <v>-246</v>
      </c>
    </row>
    <row r="354" spans="2:12" ht="14.4" x14ac:dyDescent="0.3">
      <c r="B354" s="39">
        <v>45663</v>
      </c>
      <c r="D354" s="36" t="s">
        <v>177</v>
      </c>
      <c r="F354" s="36" t="s">
        <v>137</v>
      </c>
      <c r="L354" s="42">
        <v>-508</v>
      </c>
    </row>
    <row r="355" spans="2:12" ht="14.4" x14ac:dyDescent="0.3">
      <c r="B355" s="39">
        <v>45666</v>
      </c>
      <c r="D355" s="36" t="s">
        <v>177</v>
      </c>
      <c r="F355" s="36" t="s">
        <v>137</v>
      </c>
      <c r="L355" s="42">
        <v>-433</v>
      </c>
    </row>
    <row r="356" spans="2:12" ht="14.4" x14ac:dyDescent="0.3">
      <c r="B356" s="39">
        <v>45668</v>
      </c>
      <c r="D356" s="36" t="s">
        <v>177</v>
      </c>
      <c r="F356" s="36" t="s">
        <v>137</v>
      </c>
      <c r="L356" s="42">
        <v>-205</v>
      </c>
    </row>
    <row r="357" spans="2:12" ht="14.4" x14ac:dyDescent="0.3">
      <c r="B357" s="39">
        <v>45669</v>
      </c>
      <c r="D357" s="36" t="s">
        <v>57</v>
      </c>
      <c r="F357" s="36" t="s">
        <v>186</v>
      </c>
      <c r="L357" s="42">
        <f>-5-5-14</f>
        <v>-24</v>
      </c>
    </row>
    <row r="358" spans="2:12" ht="14.4" x14ac:dyDescent="0.3">
      <c r="B358" s="39">
        <v>45670</v>
      </c>
      <c r="D358" s="36" t="s">
        <v>177</v>
      </c>
      <c r="F358" s="36" t="s">
        <v>137</v>
      </c>
      <c r="L358" s="42">
        <v>-266</v>
      </c>
    </row>
    <row r="359" spans="2:12" ht="14.4" x14ac:dyDescent="0.3">
      <c r="B359" s="39">
        <v>45675</v>
      </c>
      <c r="D359" s="36" t="s">
        <v>177</v>
      </c>
      <c r="F359" s="36" t="s">
        <v>137</v>
      </c>
      <c r="L359" s="42">
        <v>-900</v>
      </c>
    </row>
    <row r="360" spans="2:12" ht="14.4" x14ac:dyDescent="0.3">
      <c r="B360" s="39">
        <v>45677</v>
      </c>
      <c r="D360" s="36" t="s">
        <v>177</v>
      </c>
      <c r="F360" s="36" t="s">
        <v>137</v>
      </c>
      <c r="L360" s="42">
        <v>-82</v>
      </c>
    </row>
    <row r="361" spans="2:12" ht="14.4" x14ac:dyDescent="0.3">
      <c r="B361" s="39">
        <v>45677</v>
      </c>
      <c r="D361" s="36" t="s">
        <v>177</v>
      </c>
      <c r="F361" s="36" t="s">
        <v>137</v>
      </c>
      <c r="L361" s="42">
        <v>-68</v>
      </c>
    </row>
    <row r="362" spans="2:12" ht="14.4" x14ac:dyDescent="0.3">
      <c r="B362" s="39">
        <v>45679</v>
      </c>
      <c r="D362" s="36" t="s">
        <v>110</v>
      </c>
      <c r="E362" s="36" t="s">
        <v>574</v>
      </c>
      <c r="F362" s="36" t="s">
        <v>55</v>
      </c>
      <c r="K362" s="42">
        <v>-8978</v>
      </c>
      <c r="L362" s="42">
        <v>8978</v>
      </c>
    </row>
    <row r="363" spans="2:12" ht="14.4" x14ac:dyDescent="0.3">
      <c r="B363" s="39">
        <v>45679</v>
      </c>
      <c r="C363" s="39" t="s">
        <v>550</v>
      </c>
      <c r="D363" s="36" t="s">
        <v>173</v>
      </c>
      <c r="F363" s="36" t="s">
        <v>186</v>
      </c>
      <c r="L363" s="42">
        <v>-14</v>
      </c>
    </row>
    <row r="364" spans="2:12" ht="14.4" x14ac:dyDescent="0.3">
      <c r="B364" s="39">
        <v>45679</v>
      </c>
      <c r="C364" s="39" t="s">
        <v>550</v>
      </c>
      <c r="D364" s="36" t="s">
        <v>173</v>
      </c>
      <c r="F364" s="36" t="s">
        <v>115</v>
      </c>
      <c r="L364" s="42">
        <v>-50</v>
      </c>
    </row>
    <row r="365" spans="2:12" ht="14.4" x14ac:dyDescent="0.3">
      <c r="B365" s="39">
        <v>45684</v>
      </c>
      <c r="D365" s="36" t="s">
        <v>57</v>
      </c>
      <c r="E365" s="36" t="s">
        <v>187</v>
      </c>
      <c r="F365" s="36" t="s">
        <v>544</v>
      </c>
      <c r="L365" s="42">
        <v>-1483</v>
      </c>
    </row>
    <row r="366" spans="2:12" ht="14.4" x14ac:dyDescent="0.3">
      <c r="B366" s="39">
        <v>45685</v>
      </c>
      <c r="C366" s="39" t="s">
        <v>550</v>
      </c>
      <c r="D366" s="36" t="s">
        <v>173</v>
      </c>
      <c r="F366" s="36" t="s">
        <v>188</v>
      </c>
      <c r="L366" s="42">
        <v>-50</v>
      </c>
    </row>
    <row r="367" spans="2:12" ht="14.4" x14ac:dyDescent="0.3">
      <c r="B367" s="39">
        <v>45688</v>
      </c>
      <c r="D367" s="36" t="s">
        <v>194</v>
      </c>
      <c r="E367" s="36" t="s">
        <v>526</v>
      </c>
      <c r="F367" s="36" t="s">
        <v>525</v>
      </c>
      <c r="H367" s="42">
        <v>1000</v>
      </c>
    </row>
    <row r="368" spans="2:12" ht="14.4" x14ac:dyDescent="0.3">
      <c r="B368" s="39">
        <v>45688</v>
      </c>
      <c r="D368" s="36" t="s">
        <v>194</v>
      </c>
      <c r="E368" s="36" t="s">
        <v>523</v>
      </c>
      <c r="F368" s="36" t="s">
        <v>524</v>
      </c>
      <c r="H368" s="42">
        <v>3149</v>
      </c>
    </row>
    <row r="369" spans="2:12" ht="14.4" x14ac:dyDescent="0.3">
      <c r="B369" s="39">
        <v>45688</v>
      </c>
      <c r="D369" s="36" t="s">
        <v>177</v>
      </c>
      <c r="E369" s="36" t="s">
        <v>523</v>
      </c>
      <c r="F369" s="36" t="s">
        <v>524</v>
      </c>
      <c r="K369" s="42">
        <v>6305</v>
      </c>
    </row>
    <row r="370" spans="2:12" ht="14.4" x14ac:dyDescent="0.3">
      <c r="B370" s="39">
        <v>45691</v>
      </c>
      <c r="D370" s="36" t="s">
        <v>57</v>
      </c>
      <c r="E370" s="36" t="s">
        <v>189</v>
      </c>
      <c r="F370" s="36" t="s">
        <v>544</v>
      </c>
      <c r="L370" s="42">
        <v>-904</v>
      </c>
    </row>
    <row r="371" spans="2:12" ht="14.4" x14ac:dyDescent="0.3">
      <c r="B371" s="39">
        <v>45691</v>
      </c>
      <c r="D371" s="36" t="s">
        <v>57</v>
      </c>
      <c r="E371" s="36" t="s">
        <v>190</v>
      </c>
      <c r="F371" s="36" t="s">
        <v>330</v>
      </c>
      <c r="L371" s="42">
        <v>-1256</v>
      </c>
    </row>
    <row r="372" spans="2:12" ht="14.4" x14ac:dyDescent="0.3">
      <c r="B372" s="39">
        <v>45692</v>
      </c>
      <c r="D372" s="36" t="s">
        <v>57</v>
      </c>
      <c r="F372" s="36" t="s">
        <v>191</v>
      </c>
      <c r="L372" s="42">
        <v>-14</v>
      </c>
    </row>
    <row r="373" spans="2:12" ht="14.4" x14ac:dyDescent="0.3">
      <c r="B373" s="39">
        <v>45692</v>
      </c>
      <c r="C373" s="39" t="s">
        <v>550</v>
      </c>
      <c r="D373" s="36" t="s">
        <v>173</v>
      </c>
      <c r="F373" s="36" t="s">
        <v>115</v>
      </c>
      <c r="L373" s="42">
        <v>-50</v>
      </c>
    </row>
    <row r="374" spans="2:12" ht="14.4" x14ac:dyDescent="0.3">
      <c r="B374" s="39">
        <v>45694</v>
      </c>
      <c r="D374" s="36" t="s">
        <v>192</v>
      </c>
      <c r="F374" s="36" t="s">
        <v>193</v>
      </c>
      <c r="L374" s="42">
        <v>-18</v>
      </c>
    </row>
    <row r="375" spans="2:12" ht="14.4" x14ac:dyDescent="0.3">
      <c r="B375" s="39">
        <v>45696</v>
      </c>
      <c r="D375" s="36" t="s">
        <v>194</v>
      </c>
      <c r="F375" s="36" t="s">
        <v>137</v>
      </c>
      <c r="L375" s="42">
        <v>-2</v>
      </c>
    </row>
    <row r="376" spans="2:12" ht="14.4" x14ac:dyDescent="0.3">
      <c r="B376" s="39">
        <v>45696</v>
      </c>
      <c r="C376" s="39" t="s">
        <v>550</v>
      </c>
      <c r="D376" s="36" t="s">
        <v>173</v>
      </c>
      <c r="F376" s="36" t="s">
        <v>195</v>
      </c>
      <c r="L376" s="42">
        <v>-15</v>
      </c>
    </row>
    <row r="377" spans="2:12" ht="14.4" x14ac:dyDescent="0.3">
      <c r="B377" s="39">
        <v>45700</v>
      </c>
      <c r="D377" s="36" t="s">
        <v>177</v>
      </c>
      <c r="F377" s="36" t="s">
        <v>137</v>
      </c>
      <c r="L377" s="42">
        <v>-1901</v>
      </c>
    </row>
    <row r="378" spans="2:12" ht="14.4" x14ac:dyDescent="0.3">
      <c r="B378" s="39">
        <v>45700</v>
      </c>
      <c r="D378" s="36" t="s">
        <v>196</v>
      </c>
      <c r="F378" s="36" t="s">
        <v>131</v>
      </c>
      <c r="L378" s="42">
        <v>-38</v>
      </c>
    </row>
    <row r="379" spans="2:12" ht="14.4" x14ac:dyDescent="0.3">
      <c r="B379" s="39">
        <v>45701</v>
      </c>
      <c r="C379" s="39" t="s">
        <v>550</v>
      </c>
      <c r="D379" s="36" t="s">
        <v>173</v>
      </c>
      <c r="E379" s="36" t="s">
        <v>197</v>
      </c>
      <c r="F379" s="36" t="s">
        <v>70</v>
      </c>
      <c r="L379" s="42">
        <v>-47</v>
      </c>
    </row>
    <row r="380" spans="2:12" ht="14.4" x14ac:dyDescent="0.3">
      <c r="B380" s="39">
        <v>45702</v>
      </c>
      <c r="D380" s="36" t="s">
        <v>196</v>
      </c>
      <c r="F380" s="36" t="s">
        <v>198</v>
      </c>
      <c r="L380" s="42" cm="1">
        <f t="array" ref="L380">-{22}</f>
        <v>-22</v>
      </c>
    </row>
    <row r="381" spans="2:12" ht="14.4" x14ac:dyDescent="0.3">
      <c r="B381" s="39">
        <v>45703</v>
      </c>
      <c r="D381" s="36" t="s">
        <v>194</v>
      </c>
      <c r="E381" s="36" t="s">
        <v>530</v>
      </c>
      <c r="F381" s="36" t="s">
        <v>548</v>
      </c>
      <c r="H381" s="42">
        <v>-5728</v>
      </c>
    </row>
    <row r="382" spans="2:12" ht="14.4" x14ac:dyDescent="0.3">
      <c r="B382" s="39">
        <v>45703</v>
      </c>
      <c r="C382" s="39" t="s">
        <v>551</v>
      </c>
      <c r="D382" s="36" t="s">
        <v>173</v>
      </c>
      <c r="F382" s="36" t="s">
        <v>199</v>
      </c>
      <c r="L382" s="42">
        <f>5000+5000</f>
        <v>10000</v>
      </c>
    </row>
    <row r="383" spans="2:12" ht="14.4" x14ac:dyDescent="0.3">
      <c r="B383" s="39">
        <v>45704</v>
      </c>
      <c r="C383" s="39" t="s">
        <v>550</v>
      </c>
      <c r="D383" s="36" t="s">
        <v>173</v>
      </c>
      <c r="F383" s="36" t="s">
        <v>120</v>
      </c>
      <c r="L383" s="42">
        <v>-127</v>
      </c>
    </row>
    <row r="384" spans="2:12" ht="14.4" x14ac:dyDescent="0.3">
      <c r="B384" s="39">
        <v>45705</v>
      </c>
      <c r="D384" s="36" t="s">
        <v>177</v>
      </c>
      <c r="E384" s="36" t="s">
        <v>527</v>
      </c>
      <c r="F384" s="36" t="s">
        <v>524</v>
      </c>
      <c r="K384" s="42">
        <v>1082</v>
      </c>
    </row>
    <row r="385" spans="2:12" ht="14.4" x14ac:dyDescent="0.3">
      <c r="B385" s="39">
        <v>45706</v>
      </c>
      <c r="C385" s="39" t="s">
        <v>550</v>
      </c>
      <c r="D385" s="36" t="s">
        <v>173</v>
      </c>
      <c r="F385" s="36" t="s">
        <v>200</v>
      </c>
      <c r="L385" s="42">
        <v>-177</v>
      </c>
    </row>
    <row r="386" spans="2:12" ht="14.4" x14ac:dyDescent="0.3">
      <c r="B386" s="39">
        <v>45706</v>
      </c>
      <c r="D386" s="36" t="s">
        <v>57</v>
      </c>
      <c r="E386" s="36" t="s">
        <v>201</v>
      </c>
      <c r="F386" s="36" t="s">
        <v>70</v>
      </c>
      <c r="L386" s="42">
        <f>-4.42-29</f>
        <v>-33.42</v>
      </c>
    </row>
    <row r="387" spans="2:12" ht="14.4" x14ac:dyDescent="0.3">
      <c r="B387" s="39">
        <v>45707</v>
      </c>
      <c r="D387" s="36" t="s">
        <v>57</v>
      </c>
      <c r="F387" s="36" t="s">
        <v>202</v>
      </c>
      <c r="L387" s="42">
        <v>-20</v>
      </c>
    </row>
    <row r="388" spans="2:12" ht="14.4" x14ac:dyDescent="0.3">
      <c r="B388" s="39">
        <v>45708</v>
      </c>
      <c r="C388" s="39" t="s">
        <v>550</v>
      </c>
      <c r="D388" s="36" t="s">
        <v>173</v>
      </c>
      <c r="F388" s="36" t="s">
        <v>114</v>
      </c>
      <c r="L388" s="42">
        <v>-130</v>
      </c>
    </row>
    <row r="389" spans="2:12" ht="14.4" x14ac:dyDescent="0.3">
      <c r="B389" s="39">
        <v>45709</v>
      </c>
      <c r="D389" s="36" t="s">
        <v>110</v>
      </c>
      <c r="F389" s="36" t="s">
        <v>55</v>
      </c>
      <c r="K389" s="42">
        <v>-5431</v>
      </c>
      <c r="L389" s="42">
        <v>5431</v>
      </c>
    </row>
    <row r="390" spans="2:12" ht="14.4" x14ac:dyDescent="0.3">
      <c r="B390" s="39">
        <v>45709</v>
      </c>
      <c r="C390" s="39" t="s">
        <v>550</v>
      </c>
      <c r="D390" s="36" t="s">
        <v>173</v>
      </c>
      <c r="F390" s="36" t="s">
        <v>114</v>
      </c>
      <c r="L390" s="42">
        <v>-7</v>
      </c>
    </row>
    <row r="391" spans="2:12" ht="14.4" x14ac:dyDescent="0.3">
      <c r="B391" s="39">
        <v>45710</v>
      </c>
      <c r="C391" s="39" t="s">
        <v>550</v>
      </c>
      <c r="D391" s="36" t="s">
        <v>173</v>
      </c>
      <c r="F391" s="36" t="s">
        <v>77</v>
      </c>
      <c r="L391" s="42">
        <f>-44-45</f>
        <v>-89</v>
      </c>
    </row>
    <row r="392" spans="2:12" ht="14.4" x14ac:dyDescent="0.3">
      <c r="B392" s="39">
        <v>45711</v>
      </c>
      <c r="C392" s="39" t="s">
        <v>550</v>
      </c>
      <c r="D392" s="36" t="s">
        <v>173</v>
      </c>
      <c r="F392" s="36" t="s">
        <v>203</v>
      </c>
      <c r="L392" s="42">
        <v>-5</v>
      </c>
    </row>
    <row r="393" spans="2:12" ht="14.4" x14ac:dyDescent="0.3">
      <c r="B393" s="39">
        <v>45715</v>
      </c>
      <c r="C393" s="39" t="s">
        <v>550</v>
      </c>
      <c r="D393" s="36" t="s">
        <v>173</v>
      </c>
      <c r="E393" s="36" t="s">
        <v>204</v>
      </c>
      <c r="F393" s="36" t="s">
        <v>121</v>
      </c>
      <c r="L393" s="42">
        <f>-2638-15</f>
        <v>-2653</v>
      </c>
    </row>
    <row r="394" spans="2:12" ht="14.4" x14ac:dyDescent="0.3">
      <c r="B394" s="39">
        <v>45716</v>
      </c>
      <c r="C394" s="39" t="s">
        <v>550</v>
      </c>
      <c r="D394" s="36" t="s">
        <v>173</v>
      </c>
      <c r="E394" s="36" t="s">
        <v>205</v>
      </c>
      <c r="F394" s="36" t="s">
        <v>70</v>
      </c>
      <c r="L394" s="42">
        <v>-20</v>
      </c>
    </row>
    <row r="395" spans="2:12" ht="14.4" x14ac:dyDescent="0.3">
      <c r="B395" s="39">
        <v>45716</v>
      </c>
      <c r="C395" s="39" t="s">
        <v>550</v>
      </c>
      <c r="D395" s="36" t="s">
        <v>173</v>
      </c>
      <c r="E395" s="36" t="s">
        <v>168</v>
      </c>
      <c r="F395" s="36" t="s">
        <v>524</v>
      </c>
      <c r="K395" s="42">
        <v>44523</v>
      </c>
    </row>
    <row r="396" spans="2:12" ht="14.4" x14ac:dyDescent="0.3">
      <c r="B396" s="39">
        <v>45716</v>
      </c>
      <c r="D396" s="36" t="s">
        <v>194</v>
      </c>
      <c r="E396" s="36" t="s">
        <v>527</v>
      </c>
      <c r="F396" s="36" t="s">
        <v>524</v>
      </c>
      <c r="H396" s="42">
        <v>2260</v>
      </c>
    </row>
    <row r="397" spans="2:12" ht="14.4" x14ac:dyDescent="0.3">
      <c r="B397" s="39">
        <v>45716</v>
      </c>
      <c r="C397" s="39" t="s">
        <v>550</v>
      </c>
      <c r="D397" s="36" t="s">
        <v>173</v>
      </c>
      <c r="E397" s="36" t="s">
        <v>114</v>
      </c>
      <c r="F397" s="36" t="s">
        <v>114</v>
      </c>
      <c r="L397" s="42">
        <v>-250</v>
      </c>
    </row>
    <row r="398" spans="2:12" ht="14.4" x14ac:dyDescent="0.3">
      <c r="B398" s="39">
        <v>45719</v>
      </c>
      <c r="C398" s="39" t="s">
        <v>550</v>
      </c>
      <c r="D398" s="36" t="s">
        <v>173</v>
      </c>
      <c r="E398" s="36" t="s">
        <v>206</v>
      </c>
      <c r="F398" s="36" t="s">
        <v>207</v>
      </c>
      <c r="L398" s="42">
        <f>-6890000/4100</f>
        <v>-1680.4878048780488</v>
      </c>
    </row>
    <row r="399" spans="2:12" ht="14.4" x14ac:dyDescent="0.3">
      <c r="B399" s="39">
        <v>45720</v>
      </c>
      <c r="D399" s="36" t="s">
        <v>192</v>
      </c>
      <c r="E399" s="36" t="s">
        <v>208</v>
      </c>
      <c r="F399" s="36" t="s">
        <v>193</v>
      </c>
      <c r="L399" s="42">
        <v>-30</v>
      </c>
    </row>
    <row r="400" spans="2:12" ht="14.4" x14ac:dyDescent="0.3">
      <c r="B400" s="39">
        <v>45720</v>
      </c>
      <c r="C400" s="39" t="s">
        <v>550</v>
      </c>
      <c r="D400" s="36" t="s">
        <v>173</v>
      </c>
      <c r="E400" s="36" t="s">
        <v>209</v>
      </c>
      <c r="F400" s="36" t="s">
        <v>121</v>
      </c>
      <c r="L400" s="42">
        <f>-50*3</f>
        <v>-150</v>
      </c>
    </row>
    <row r="401" spans="2:12" ht="14.4" x14ac:dyDescent="0.3">
      <c r="B401" s="39">
        <v>45720</v>
      </c>
      <c r="C401" s="39" t="s">
        <v>550</v>
      </c>
      <c r="D401" s="36" t="s">
        <v>173</v>
      </c>
      <c r="F401" s="36" t="s">
        <v>115</v>
      </c>
      <c r="L401" s="42">
        <v>-50</v>
      </c>
    </row>
    <row r="402" spans="2:12" ht="14.4" x14ac:dyDescent="0.3">
      <c r="B402" s="39">
        <v>45721</v>
      </c>
      <c r="D402" s="36" t="s">
        <v>57</v>
      </c>
      <c r="E402" s="36" t="s">
        <v>210</v>
      </c>
      <c r="F402" s="36" t="s">
        <v>202</v>
      </c>
      <c r="L402" s="42">
        <v>-16</v>
      </c>
    </row>
    <row r="403" spans="2:12" ht="14.4" x14ac:dyDescent="0.3">
      <c r="B403" s="39">
        <v>45721</v>
      </c>
      <c r="D403" s="36" t="s">
        <v>194</v>
      </c>
      <c r="E403" s="36" t="s">
        <v>211</v>
      </c>
      <c r="F403" s="36" t="s">
        <v>72</v>
      </c>
      <c r="L403" s="42">
        <v>-5</v>
      </c>
    </row>
    <row r="404" spans="2:12" ht="14.4" x14ac:dyDescent="0.3">
      <c r="B404" s="39">
        <v>45722</v>
      </c>
      <c r="D404" s="36" t="s">
        <v>57</v>
      </c>
      <c r="E404" s="36" t="s">
        <v>212</v>
      </c>
      <c r="F404" s="36" t="s">
        <v>70</v>
      </c>
      <c r="L404" s="42">
        <v>-11</v>
      </c>
    </row>
    <row r="405" spans="2:12" ht="14.4" x14ac:dyDescent="0.3">
      <c r="B405" s="39">
        <v>45724</v>
      </c>
      <c r="C405" s="39" t="s">
        <v>550</v>
      </c>
      <c r="D405" s="36" t="s">
        <v>173</v>
      </c>
      <c r="E405" s="36" t="s">
        <v>213</v>
      </c>
      <c r="F405" s="36" t="s">
        <v>137</v>
      </c>
      <c r="L405" s="42">
        <f>-22960-250-250-250-250-250-250-250-250-41</f>
        <v>-25001</v>
      </c>
    </row>
    <row r="406" spans="2:12" ht="14.4" x14ac:dyDescent="0.3">
      <c r="B406" s="39">
        <v>45724</v>
      </c>
      <c r="C406" s="39" t="s">
        <v>550</v>
      </c>
      <c r="D406" s="36" t="s">
        <v>173</v>
      </c>
      <c r="E406" s="36" t="s">
        <v>214</v>
      </c>
      <c r="F406" s="36" t="s">
        <v>70</v>
      </c>
      <c r="L406" s="42">
        <v>-15</v>
      </c>
    </row>
    <row r="407" spans="2:12" ht="14.4" x14ac:dyDescent="0.3">
      <c r="B407" s="39">
        <v>45725</v>
      </c>
      <c r="C407" s="39" t="s">
        <v>550</v>
      </c>
      <c r="D407" s="36" t="s">
        <v>173</v>
      </c>
      <c r="E407" s="36" t="s">
        <v>215</v>
      </c>
      <c r="F407" s="36" t="s">
        <v>121</v>
      </c>
      <c r="L407" s="42">
        <v>-50</v>
      </c>
    </row>
    <row r="408" spans="2:12" ht="14.4" x14ac:dyDescent="0.3">
      <c r="B408" s="39">
        <v>45727</v>
      </c>
      <c r="D408" s="36" t="s">
        <v>57</v>
      </c>
      <c r="E408" s="36" t="s">
        <v>210</v>
      </c>
      <c r="F408" s="36" t="s">
        <v>202</v>
      </c>
      <c r="L408" s="42">
        <v>-16</v>
      </c>
    </row>
    <row r="409" spans="2:12" ht="14.4" x14ac:dyDescent="0.3">
      <c r="B409" s="39">
        <v>45728</v>
      </c>
      <c r="D409" s="36" t="s">
        <v>216</v>
      </c>
      <c r="E409" s="36" t="s">
        <v>217</v>
      </c>
      <c r="F409" s="36" t="s">
        <v>131</v>
      </c>
      <c r="L409" s="42">
        <v>-38</v>
      </c>
    </row>
    <row r="410" spans="2:12" ht="14.4" x14ac:dyDescent="0.3">
      <c r="B410" s="39">
        <v>45732</v>
      </c>
      <c r="D410" s="36" t="s">
        <v>57</v>
      </c>
      <c r="E410" s="36" t="s">
        <v>218</v>
      </c>
      <c r="F410" s="36" t="s">
        <v>70</v>
      </c>
      <c r="L410" s="42">
        <v>-30</v>
      </c>
    </row>
    <row r="411" spans="2:12" ht="14.4" x14ac:dyDescent="0.3">
      <c r="B411" s="39">
        <v>45732</v>
      </c>
      <c r="C411" s="39" t="s">
        <v>550</v>
      </c>
      <c r="D411" s="36" t="s">
        <v>219</v>
      </c>
      <c r="E411" s="36" t="s">
        <v>220</v>
      </c>
      <c r="F411" s="36" t="s">
        <v>70</v>
      </c>
      <c r="L411" s="42">
        <v>-18</v>
      </c>
    </row>
    <row r="412" spans="2:12" ht="14.4" x14ac:dyDescent="0.3">
      <c r="B412" s="39">
        <v>45734</v>
      </c>
      <c r="C412" s="39" t="s">
        <v>550</v>
      </c>
      <c r="D412" s="36" t="s">
        <v>219</v>
      </c>
      <c r="E412" s="36" t="s">
        <v>221</v>
      </c>
      <c r="F412" s="36" t="s">
        <v>137</v>
      </c>
      <c r="L412" s="42">
        <v>-250</v>
      </c>
    </row>
    <row r="413" spans="2:12" ht="14.4" x14ac:dyDescent="0.3">
      <c r="B413" s="39">
        <v>45736</v>
      </c>
      <c r="D413" s="36" t="s">
        <v>110</v>
      </c>
      <c r="E413" s="36" t="s">
        <v>226</v>
      </c>
      <c r="F413" s="36" t="s">
        <v>110</v>
      </c>
      <c r="K413" s="42">
        <v>-59754</v>
      </c>
      <c r="L413" s="42">
        <v>59754</v>
      </c>
    </row>
    <row r="414" spans="2:12" ht="14.4" x14ac:dyDescent="0.3">
      <c r="B414" s="39">
        <v>45736</v>
      </c>
      <c r="D414" s="36" t="s">
        <v>57</v>
      </c>
      <c r="E414" s="36" t="s">
        <v>222</v>
      </c>
      <c r="F414" s="36" t="s">
        <v>202</v>
      </c>
      <c r="L414" s="42">
        <v>-40</v>
      </c>
    </row>
    <row r="415" spans="2:12" ht="14.4" x14ac:dyDescent="0.3">
      <c r="B415" s="39">
        <v>45736</v>
      </c>
      <c r="D415" s="36" t="s">
        <v>57</v>
      </c>
      <c r="E415" s="36" t="s">
        <v>223</v>
      </c>
      <c r="F415" s="36" t="s">
        <v>224</v>
      </c>
      <c r="L415" s="42">
        <v>-379</v>
      </c>
    </row>
    <row r="416" spans="2:12" ht="14.4" x14ac:dyDescent="0.3">
      <c r="B416" s="39">
        <v>45736</v>
      </c>
      <c r="C416" s="39" t="s">
        <v>550</v>
      </c>
      <c r="D416" s="36" t="s">
        <v>219</v>
      </c>
      <c r="E416" s="36" t="s">
        <v>225</v>
      </c>
      <c r="F416" s="36" t="s">
        <v>137</v>
      </c>
      <c r="L416" s="42">
        <v>-250</v>
      </c>
    </row>
    <row r="417" spans="2:12" ht="14.4" x14ac:dyDescent="0.3">
      <c r="B417" s="39">
        <v>45736</v>
      </c>
      <c r="D417" s="36" t="s">
        <v>227</v>
      </c>
      <c r="E417" s="36" t="s">
        <v>228</v>
      </c>
      <c r="F417" s="36" t="s">
        <v>175</v>
      </c>
      <c r="L417" s="42">
        <v>-11</v>
      </c>
    </row>
    <row r="418" spans="2:12" ht="14.4" x14ac:dyDescent="0.3">
      <c r="B418" s="39">
        <v>45739</v>
      </c>
      <c r="C418" s="39" t="s">
        <v>550</v>
      </c>
      <c r="D418" s="36" t="s">
        <v>219</v>
      </c>
      <c r="E418" s="36" t="s">
        <v>229</v>
      </c>
      <c r="F418" s="36" t="s">
        <v>137</v>
      </c>
      <c r="L418" s="42">
        <v>-250</v>
      </c>
    </row>
    <row r="419" spans="2:12" ht="14.4" x14ac:dyDescent="0.3">
      <c r="B419" s="39">
        <v>45741</v>
      </c>
      <c r="C419" s="39" t="s">
        <v>550</v>
      </c>
      <c r="D419" s="36" t="s">
        <v>219</v>
      </c>
      <c r="E419" s="36" t="s">
        <v>230</v>
      </c>
      <c r="F419" s="36" t="s">
        <v>137</v>
      </c>
      <c r="L419" s="42">
        <v>-250</v>
      </c>
    </row>
    <row r="420" spans="2:12" ht="14.4" x14ac:dyDescent="0.3">
      <c r="B420" s="39">
        <v>45743</v>
      </c>
      <c r="D420" s="36" t="s">
        <v>57</v>
      </c>
      <c r="E420" s="36" t="s">
        <v>231</v>
      </c>
      <c r="F420" s="36" t="s">
        <v>200</v>
      </c>
      <c r="L420" s="42">
        <v>-59</v>
      </c>
    </row>
    <row r="421" spans="2:12" ht="14.4" x14ac:dyDescent="0.3">
      <c r="B421" s="39">
        <v>45743</v>
      </c>
      <c r="C421" s="39" t="s">
        <v>550</v>
      </c>
      <c r="D421" s="36" t="s">
        <v>219</v>
      </c>
      <c r="E421" s="36" t="s">
        <v>232</v>
      </c>
      <c r="F421" s="36" t="s">
        <v>137</v>
      </c>
      <c r="L421" s="42">
        <v>-250</v>
      </c>
    </row>
    <row r="422" spans="2:12" ht="14.4" x14ac:dyDescent="0.3">
      <c r="B422" s="39">
        <v>45744</v>
      </c>
      <c r="C422" s="39" t="s">
        <v>550</v>
      </c>
      <c r="D422" s="36" t="s">
        <v>219</v>
      </c>
      <c r="E422" s="36" t="s">
        <v>205</v>
      </c>
      <c r="F422" s="36" t="s">
        <v>70</v>
      </c>
      <c r="L422" s="42">
        <v>-20.02</v>
      </c>
    </row>
    <row r="423" spans="2:12" ht="14.4" x14ac:dyDescent="0.3">
      <c r="B423" s="39">
        <v>45745</v>
      </c>
      <c r="D423" s="36" t="s">
        <v>57</v>
      </c>
      <c r="E423" s="36" t="s">
        <v>233</v>
      </c>
      <c r="F423" s="36" t="s">
        <v>202</v>
      </c>
      <c r="L423" s="42">
        <v>-20.63</v>
      </c>
    </row>
    <row r="424" spans="2:12" ht="14.4" x14ac:dyDescent="0.3">
      <c r="B424" s="39">
        <v>45745</v>
      </c>
      <c r="C424" s="39" t="s">
        <v>550</v>
      </c>
      <c r="D424" s="36" t="s">
        <v>219</v>
      </c>
      <c r="E424" s="36" t="s">
        <v>234</v>
      </c>
      <c r="F424" s="36" t="s">
        <v>137</v>
      </c>
      <c r="L424" s="42">
        <v>-250</v>
      </c>
    </row>
    <row r="425" spans="2:12" ht="14.4" x14ac:dyDescent="0.3">
      <c r="B425" s="39">
        <v>45746</v>
      </c>
      <c r="C425" s="39" t="s">
        <v>550</v>
      </c>
      <c r="D425" s="36" t="s">
        <v>219</v>
      </c>
      <c r="E425" s="36" t="s">
        <v>235</v>
      </c>
      <c r="F425" s="36" t="s">
        <v>236</v>
      </c>
      <c r="L425" s="42">
        <v>-5</v>
      </c>
    </row>
    <row r="426" spans="2:12" ht="14.4" x14ac:dyDescent="0.3">
      <c r="B426" s="39">
        <v>45747</v>
      </c>
      <c r="C426" s="39" t="s">
        <v>551</v>
      </c>
      <c r="D426" s="36" t="s">
        <v>173</v>
      </c>
      <c r="E426" s="36" t="s">
        <v>536</v>
      </c>
      <c r="F426" s="36" t="s">
        <v>524</v>
      </c>
      <c r="K426" s="42">
        <v>23267</v>
      </c>
    </row>
    <row r="427" spans="2:12" ht="14.4" x14ac:dyDescent="0.3">
      <c r="B427" s="39">
        <v>45747</v>
      </c>
      <c r="D427" s="36" t="s">
        <v>194</v>
      </c>
      <c r="E427" s="36" t="s">
        <v>531</v>
      </c>
      <c r="F427" s="36" t="s">
        <v>548</v>
      </c>
      <c r="H427" s="42">
        <v>-2493</v>
      </c>
    </row>
    <row r="428" spans="2:12" ht="14.4" x14ac:dyDescent="0.3">
      <c r="B428" s="39">
        <v>45747</v>
      </c>
      <c r="D428" s="36" t="s">
        <v>194</v>
      </c>
      <c r="E428" s="36" t="s">
        <v>536</v>
      </c>
      <c r="F428" s="36" t="s">
        <v>524</v>
      </c>
      <c r="H428" s="42">
        <v>1814</v>
      </c>
    </row>
    <row r="429" spans="2:12" ht="14.4" x14ac:dyDescent="0.3">
      <c r="B429" s="39">
        <v>45747</v>
      </c>
      <c r="C429" s="39" t="s">
        <v>550</v>
      </c>
      <c r="D429" s="36" t="s">
        <v>219</v>
      </c>
      <c r="E429" s="36" t="s">
        <v>237</v>
      </c>
      <c r="F429" s="36" t="s">
        <v>137</v>
      </c>
      <c r="L429" s="42">
        <v>-250</v>
      </c>
    </row>
    <row r="430" spans="2:12" ht="14.4" x14ac:dyDescent="0.3">
      <c r="B430" s="39">
        <v>45747</v>
      </c>
      <c r="C430" s="39" t="s">
        <v>550</v>
      </c>
      <c r="D430" s="36" t="s">
        <v>219</v>
      </c>
      <c r="E430" s="36" t="s">
        <v>238</v>
      </c>
      <c r="F430" s="36" t="s">
        <v>137</v>
      </c>
      <c r="L430" s="42">
        <v>-62.45</v>
      </c>
    </row>
    <row r="431" spans="2:12" ht="14.4" x14ac:dyDescent="0.3">
      <c r="B431" s="39">
        <v>45748</v>
      </c>
      <c r="C431" s="39" t="s">
        <v>550</v>
      </c>
      <c r="D431" s="36" t="s">
        <v>219</v>
      </c>
      <c r="E431" s="36" t="s">
        <v>239</v>
      </c>
      <c r="F431" s="36" t="s">
        <v>137</v>
      </c>
      <c r="L431" s="42">
        <v>-250</v>
      </c>
    </row>
    <row r="432" spans="2:12" ht="14.4" x14ac:dyDescent="0.3">
      <c r="B432" s="39">
        <v>45749</v>
      </c>
      <c r="C432" s="39" t="s">
        <v>550</v>
      </c>
      <c r="D432" s="36" t="s">
        <v>173</v>
      </c>
      <c r="E432" s="36" t="s">
        <v>241</v>
      </c>
      <c r="F432" s="36" t="s">
        <v>101</v>
      </c>
      <c r="L432" s="42">
        <v>5662</v>
      </c>
    </row>
    <row r="433" spans="2:15" ht="14.4" x14ac:dyDescent="0.3">
      <c r="B433" s="39">
        <v>45749</v>
      </c>
      <c r="D433" s="36" t="s">
        <v>110</v>
      </c>
      <c r="E433" s="36" t="s">
        <v>226</v>
      </c>
      <c r="F433" s="36" t="s">
        <v>110</v>
      </c>
      <c r="K433" s="42">
        <v>-7914</v>
      </c>
      <c r="L433" s="42">
        <v>7914</v>
      </c>
    </row>
    <row r="434" spans="2:15" ht="14.4" x14ac:dyDescent="0.3">
      <c r="B434" s="39">
        <v>45749</v>
      </c>
      <c r="C434" s="39" t="s">
        <v>550</v>
      </c>
      <c r="D434" s="36" t="s">
        <v>219</v>
      </c>
      <c r="E434" s="36" t="s">
        <v>240</v>
      </c>
      <c r="F434" s="36" t="s">
        <v>137</v>
      </c>
      <c r="L434" s="42">
        <v>-250</v>
      </c>
    </row>
    <row r="435" spans="2:15" ht="14.4" x14ac:dyDescent="0.3">
      <c r="B435" s="39">
        <v>45749</v>
      </c>
      <c r="C435" s="39" t="s">
        <v>550</v>
      </c>
      <c r="D435" s="36" t="s">
        <v>173</v>
      </c>
      <c r="E435" s="36" t="s">
        <v>242</v>
      </c>
      <c r="F435" s="36" t="s">
        <v>243</v>
      </c>
      <c r="L435" s="42">
        <v>-1983</v>
      </c>
    </row>
    <row r="436" spans="2:15" ht="14.4" x14ac:dyDescent="0.3">
      <c r="B436" s="39">
        <v>45749</v>
      </c>
      <c r="C436" s="39" t="s">
        <v>550</v>
      </c>
      <c r="D436" s="36" t="s">
        <v>564</v>
      </c>
      <c r="E436" s="36" t="s">
        <v>164</v>
      </c>
      <c r="F436" s="36" t="s">
        <v>562</v>
      </c>
      <c r="L436" s="42">
        <v>-7521</v>
      </c>
    </row>
    <row r="437" spans="2:15" ht="14.4" x14ac:dyDescent="0.3">
      <c r="B437" s="39">
        <v>45750</v>
      </c>
      <c r="D437" s="36" t="s">
        <v>57</v>
      </c>
      <c r="E437" s="36" t="s">
        <v>244</v>
      </c>
      <c r="F437" s="36" t="s">
        <v>245</v>
      </c>
      <c r="L437" s="42">
        <v>-1073</v>
      </c>
    </row>
    <row r="438" spans="2:15" ht="14.4" x14ac:dyDescent="0.3">
      <c r="B438" s="39">
        <v>45750</v>
      </c>
      <c r="D438" s="36" t="s">
        <v>57</v>
      </c>
      <c r="E438" s="36" t="s">
        <v>246</v>
      </c>
      <c r="F438" s="36" t="s">
        <v>224</v>
      </c>
      <c r="L438" s="42">
        <f>-9-12-12-15-27-30-67+30+27+9</f>
        <v>-106</v>
      </c>
    </row>
    <row r="439" spans="2:15" ht="14.4" x14ac:dyDescent="0.3">
      <c r="B439" s="39">
        <v>45750</v>
      </c>
      <c r="C439" s="39" t="s">
        <v>550</v>
      </c>
      <c r="D439" s="36" t="s">
        <v>219</v>
      </c>
      <c r="E439" s="36" t="s">
        <v>247</v>
      </c>
      <c r="F439" s="36" t="s">
        <v>137</v>
      </c>
      <c r="L439" s="42">
        <v>-284</v>
      </c>
    </row>
    <row r="440" spans="2:15" ht="14.4" x14ac:dyDescent="0.3">
      <c r="B440" s="39">
        <v>45750</v>
      </c>
      <c r="C440" s="39" t="s">
        <v>550</v>
      </c>
      <c r="D440" s="36" t="s">
        <v>219</v>
      </c>
      <c r="E440" s="36" t="s">
        <v>248</v>
      </c>
      <c r="F440" s="36" t="s">
        <v>137</v>
      </c>
      <c r="L440" s="42">
        <v>-257.10000000000002</v>
      </c>
    </row>
    <row r="441" spans="2:15" ht="14.4" x14ac:dyDescent="0.3">
      <c r="B441" s="39">
        <v>45750</v>
      </c>
      <c r="C441" s="39" t="s">
        <v>550</v>
      </c>
      <c r="D441" s="36" t="s">
        <v>219</v>
      </c>
      <c r="E441" s="36" t="s">
        <v>249</v>
      </c>
      <c r="F441" s="36" t="s">
        <v>137</v>
      </c>
      <c r="L441" s="42">
        <v>-250</v>
      </c>
    </row>
    <row r="442" spans="2:15" ht="14.4" x14ac:dyDescent="0.3">
      <c r="B442" s="39">
        <v>45750</v>
      </c>
      <c r="C442" s="39" t="s">
        <v>550</v>
      </c>
      <c r="D442" s="36" t="s">
        <v>219</v>
      </c>
      <c r="E442" s="36" t="s">
        <v>250</v>
      </c>
      <c r="F442" s="36" t="s">
        <v>137</v>
      </c>
      <c r="L442" s="42">
        <v>-250</v>
      </c>
    </row>
    <row r="443" spans="2:15" ht="14.4" x14ac:dyDescent="0.3">
      <c r="B443" s="39">
        <v>45750</v>
      </c>
      <c r="C443" s="39" t="s">
        <v>550</v>
      </c>
      <c r="D443" s="36" t="s">
        <v>219</v>
      </c>
      <c r="E443" s="36" t="s">
        <v>251</v>
      </c>
      <c r="F443" s="36" t="s">
        <v>137</v>
      </c>
      <c r="L443" s="42">
        <v>-227.15</v>
      </c>
    </row>
    <row r="444" spans="2:15" ht="14.4" x14ac:dyDescent="0.3">
      <c r="B444" s="39">
        <v>45751</v>
      </c>
      <c r="D444" s="36" t="s">
        <v>57</v>
      </c>
      <c r="E444" s="36" t="s">
        <v>252</v>
      </c>
      <c r="F444" s="36" t="s">
        <v>224</v>
      </c>
      <c r="L444" s="42">
        <v>-57</v>
      </c>
    </row>
    <row r="445" spans="2:15" ht="14.4" x14ac:dyDescent="0.3">
      <c r="B445" s="39">
        <v>45751</v>
      </c>
      <c r="C445" s="39" t="s">
        <v>550</v>
      </c>
      <c r="D445" s="36" t="s">
        <v>219</v>
      </c>
      <c r="E445" s="36" t="s">
        <v>253</v>
      </c>
      <c r="F445" s="36" t="s">
        <v>254</v>
      </c>
      <c r="L445" s="42">
        <v>-300</v>
      </c>
    </row>
    <row r="446" spans="2:15" ht="14.4" x14ac:dyDescent="0.3">
      <c r="B446" s="39">
        <v>45752</v>
      </c>
      <c r="C446" s="39" t="s">
        <v>550</v>
      </c>
      <c r="D446" s="36" t="s">
        <v>173</v>
      </c>
      <c r="E446" s="36" t="s">
        <v>100</v>
      </c>
      <c r="F446" s="36" t="s">
        <v>100</v>
      </c>
      <c r="L446" s="42">
        <v>-2953</v>
      </c>
      <c r="O446" s="42">
        <v>455</v>
      </c>
    </row>
    <row r="447" spans="2:15" ht="14.4" x14ac:dyDescent="0.3">
      <c r="B447" s="39">
        <v>45752</v>
      </c>
      <c r="C447" s="39" t="s">
        <v>550</v>
      </c>
      <c r="D447" s="36" t="s">
        <v>173</v>
      </c>
      <c r="E447" s="36" t="s">
        <v>255</v>
      </c>
      <c r="F447" s="36" t="s">
        <v>256</v>
      </c>
      <c r="O447" s="42">
        <f>-1378-488-871-659-654-591-338-410</f>
        <v>-5389</v>
      </c>
    </row>
    <row r="448" spans="2:15" ht="14.4" x14ac:dyDescent="0.3">
      <c r="B448" s="39">
        <v>45753</v>
      </c>
      <c r="C448" s="39" t="s">
        <v>550</v>
      </c>
      <c r="D448" s="36" t="s">
        <v>219</v>
      </c>
      <c r="E448" s="36" t="s">
        <v>257</v>
      </c>
      <c r="F448" s="36" t="s">
        <v>131</v>
      </c>
      <c r="L448" s="42">
        <v>-38</v>
      </c>
    </row>
    <row r="449" spans="2:12" ht="14.4" x14ac:dyDescent="0.3">
      <c r="B449" s="39">
        <v>45753</v>
      </c>
      <c r="D449" s="36" t="s">
        <v>57</v>
      </c>
      <c r="E449" s="36" t="s">
        <v>212</v>
      </c>
      <c r="F449" s="36" t="s">
        <v>70</v>
      </c>
      <c r="L449" s="42">
        <v>-13.54</v>
      </c>
    </row>
    <row r="450" spans="2:12" ht="14.4" x14ac:dyDescent="0.3">
      <c r="B450" s="39">
        <v>45753</v>
      </c>
      <c r="D450" s="36" t="s">
        <v>258</v>
      </c>
      <c r="E450" s="36" t="s">
        <v>259</v>
      </c>
      <c r="F450" s="36" t="s">
        <v>70</v>
      </c>
      <c r="L450" s="42">
        <v>-9.4600000000000009</v>
      </c>
    </row>
    <row r="451" spans="2:12" ht="14.4" x14ac:dyDescent="0.3">
      <c r="B451" s="39">
        <v>45753</v>
      </c>
      <c r="D451" s="36" t="s">
        <v>260</v>
      </c>
      <c r="E451" s="36" t="s">
        <v>261</v>
      </c>
      <c r="F451" s="36" t="s">
        <v>70</v>
      </c>
      <c r="L451" s="42">
        <v>-9.4600000000000009</v>
      </c>
    </row>
    <row r="452" spans="2:12" ht="14.4" x14ac:dyDescent="0.3">
      <c r="B452" s="39">
        <v>45754</v>
      </c>
      <c r="C452" s="39" t="s">
        <v>550</v>
      </c>
      <c r="D452" s="36" t="s">
        <v>219</v>
      </c>
      <c r="E452" s="36" t="s">
        <v>257</v>
      </c>
      <c r="F452" s="36" t="s">
        <v>131</v>
      </c>
      <c r="L452" s="42">
        <v>-38</v>
      </c>
    </row>
    <row r="453" spans="2:12" ht="14.4" x14ac:dyDescent="0.3">
      <c r="B453" s="39">
        <v>45754</v>
      </c>
      <c r="C453" s="39" t="s">
        <v>550</v>
      </c>
      <c r="D453" s="36" t="s">
        <v>219</v>
      </c>
      <c r="E453" s="36" t="s">
        <v>263</v>
      </c>
      <c r="F453" s="36" t="s">
        <v>70</v>
      </c>
      <c r="L453" s="42">
        <v>-15.98</v>
      </c>
    </row>
    <row r="454" spans="2:12" ht="14.4" x14ac:dyDescent="0.3">
      <c r="B454" s="39">
        <v>45754</v>
      </c>
      <c r="C454" s="39" t="s">
        <v>550</v>
      </c>
      <c r="D454" s="36" t="s">
        <v>219</v>
      </c>
      <c r="E454" s="36" t="s">
        <v>264</v>
      </c>
      <c r="F454" s="36" t="s">
        <v>121</v>
      </c>
      <c r="L454" s="42">
        <v>-15</v>
      </c>
    </row>
    <row r="455" spans="2:12" ht="14.4" x14ac:dyDescent="0.3">
      <c r="B455" s="39">
        <v>45755</v>
      </c>
      <c r="C455" s="39" t="s">
        <v>551</v>
      </c>
      <c r="D455" s="36" t="s">
        <v>173</v>
      </c>
      <c r="E455" s="36" t="s">
        <v>539</v>
      </c>
      <c r="F455" s="36" t="s">
        <v>537</v>
      </c>
      <c r="H455" s="42">
        <v>9425</v>
      </c>
    </row>
    <row r="456" spans="2:12" ht="14.4" x14ac:dyDescent="0.3">
      <c r="B456" s="39">
        <v>45755</v>
      </c>
      <c r="C456" s="39" t="s">
        <v>553</v>
      </c>
      <c r="D456" s="36" t="s">
        <v>173</v>
      </c>
      <c r="E456" s="36" t="s">
        <v>545</v>
      </c>
      <c r="F456" s="36" t="s">
        <v>552</v>
      </c>
      <c r="G456" s="42">
        <v>-58019</v>
      </c>
    </row>
    <row r="457" spans="2:12" ht="14.4" x14ac:dyDescent="0.3">
      <c r="B457" s="39">
        <v>45755</v>
      </c>
      <c r="C457" s="39" t="s">
        <v>550</v>
      </c>
      <c r="D457" s="36" t="s">
        <v>219</v>
      </c>
      <c r="E457" s="36" t="s">
        <v>265</v>
      </c>
      <c r="F457" s="36" t="s">
        <v>137</v>
      </c>
      <c r="L457" s="42">
        <v>-375</v>
      </c>
    </row>
    <row r="458" spans="2:12" ht="14.4" x14ac:dyDescent="0.3">
      <c r="B458" s="39">
        <v>45755</v>
      </c>
      <c r="C458" s="39" t="s">
        <v>554</v>
      </c>
      <c r="D458" s="36" t="s">
        <v>564</v>
      </c>
      <c r="E458" s="36" t="s">
        <v>545</v>
      </c>
      <c r="F458" s="36" t="s">
        <v>562</v>
      </c>
      <c r="G458" s="42">
        <v>58019</v>
      </c>
    </row>
    <row r="459" spans="2:12" ht="14.4" x14ac:dyDescent="0.3">
      <c r="B459" s="39">
        <v>45755</v>
      </c>
      <c r="C459" s="39" t="s">
        <v>550</v>
      </c>
      <c r="D459" s="36" t="s">
        <v>564</v>
      </c>
      <c r="E459" s="36" t="s">
        <v>268</v>
      </c>
      <c r="F459" s="36" t="s">
        <v>562</v>
      </c>
      <c r="H459" s="42">
        <v>-9425</v>
      </c>
      <c r="L459" s="42">
        <v>-5792</v>
      </c>
    </row>
    <row r="460" spans="2:12" ht="14.4" x14ac:dyDescent="0.3">
      <c r="B460" s="39">
        <v>45755</v>
      </c>
      <c r="C460" s="39" t="s">
        <v>550</v>
      </c>
      <c r="D460" s="36" t="s">
        <v>564</v>
      </c>
      <c r="E460" s="36" t="s">
        <v>266</v>
      </c>
      <c r="F460" s="36" t="s">
        <v>562</v>
      </c>
      <c r="L460" s="42">
        <v>-15271</v>
      </c>
    </row>
    <row r="461" spans="2:12" ht="14.4" x14ac:dyDescent="0.3">
      <c r="B461" s="39">
        <v>45755</v>
      </c>
      <c r="C461" s="39" t="s">
        <v>550</v>
      </c>
      <c r="D461" s="36" t="s">
        <v>564</v>
      </c>
      <c r="E461" s="36" t="s">
        <v>267</v>
      </c>
      <c r="F461" s="36" t="s">
        <v>562</v>
      </c>
      <c r="L461" s="42">
        <v>-14951</v>
      </c>
    </row>
    <row r="462" spans="2:12" ht="14.4" x14ac:dyDescent="0.3">
      <c r="B462" s="39">
        <v>45756</v>
      </c>
      <c r="D462" s="36" t="s">
        <v>57</v>
      </c>
      <c r="E462" s="36" t="s">
        <v>218</v>
      </c>
      <c r="F462" s="36" t="s">
        <v>70</v>
      </c>
      <c r="L462" s="42">
        <v>-37.79</v>
      </c>
    </row>
    <row r="463" spans="2:12" ht="14.4" x14ac:dyDescent="0.3">
      <c r="B463" s="39">
        <v>45757</v>
      </c>
      <c r="C463" s="39" t="s">
        <v>550</v>
      </c>
      <c r="D463" s="36" t="s">
        <v>219</v>
      </c>
      <c r="E463" s="36" t="s">
        <v>269</v>
      </c>
      <c r="F463" s="36" t="s">
        <v>137</v>
      </c>
      <c r="L463" s="42">
        <v>-563</v>
      </c>
    </row>
    <row r="464" spans="2:12" ht="14.4" x14ac:dyDescent="0.3">
      <c r="B464" s="39">
        <v>45759</v>
      </c>
      <c r="D464" s="36" t="s">
        <v>57</v>
      </c>
      <c r="E464" s="36" t="s">
        <v>270</v>
      </c>
      <c r="F464" s="36" t="s">
        <v>202</v>
      </c>
      <c r="L464" s="42">
        <v>-12.96</v>
      </c>
    </row>
    <row r="465" spans="2:12" ht="14.4" x14ac:dyDescent="0.3">
      <c r="B465" s="39">
        <v>45759</v>
      </c>
      <c r="C465" s="39" t="s">
        <v>550</v>
      </c>
      <c r="D465" s="36" t="s">
        <v>219</v>
      </c>
      <c r="E465" s="36" t="s">
        <v>271</v>
      </c>
      <c r="F465" s="36" t="s">
        <v>137</v>
      </c>
      <c r="L465" s="42">
        <v>-845</v>
      </c>
    </row>
    <row r="466" spans="2:12" ht="14.4" x14ac:dyDescent="0.3">
      <c r="B466" s="39">
        <v>45759</v>
      </c>
      <c r="D466" s="36" t="s">
        <v>272</v>
      </c>
      <c r="E466" s="36" t="s">
        <v>273</v>
      </c>
      <c r="F466" s="36" t="s">
        <v>137</v>
      </c>
      <c r="L466" s="42">
        <v>-333</v>
      </c>
    </row>
    <row r="467" spans="2:12" ht="14.4" x14ac:dyDescent="0.3">
      <c r="B467" s="39">
        <v>45759</v>
      </c>
      <c r="D467" s="36" t="s">
        <v>177</v>
      </c>
      <c r="E467" s="36" t="s">
        <v>321</v>
      </c>
      <c r="F467" s="36" t="s">
        <v>137</v>
      </c>
      <c r="L467" s="42">
        <v>-203.73</v>
      </c>
    </row>
    <row r="468" spans="2:12" ht="14.4" x14ac:dyDescent="0.3">
      <c r="B468" s="39">
        <v>45760</v>
      </c>
      <c r="D468" s="36" t="s">
        <v>57</v>
      </c>
      <c r="E468" s="36" t="s">
        <v>275</v>
      </c>
      <c r="F468" s="36" t="s">
        <v>200</v>
      </c>
      <c r="L468" s="42">
        <v>-59</v>
      </c>
    </row>
    <row r="469" spans="2:12" ht="14.4" x14ac:dyDescent="0.3">
      <c r="B469" s="39">
        <v>45760</v>
      </c>
      <c r="C469" s="39" t="s">
        <v>550</v>
      </c>
      <c r="D469" s="36" t="s">
        <v>219</v>
      </c>
      <c r="E469" s="36" t="s">
        <v>220</v>
      </c>
      <c r="F469" s="36" t="s">
        <v>70</v>
      </c>
      <c r="L469" s="42">
        <v>-16.62</v>
      </c>
    </row>
    <row r="470" spans="2:12" ht="14.4" x14ac:dyDescent="0.3">
      <c r="B470" s="39">
        <v>45762</v>
      </c>
      <c r="C470" s="39" t="s">
        <v>550</v>
      </c>
      <c r="D470" s="36" t="s">
        <v>219</v>
      </c>
      <c r="E470" s="36" t="s">
        <v>274</v>
      </c>
      <c r="F470" s="36" t="s">
        <v>137</v>
      </c>
      <c r="L470" s="42">
        <v>-900</v>
      </c>
    </row>
    <row r="471" spans="2:12" ht="14.4" x14ac:dyDescent="0.3">
      <c r="B471" s="39">
        <v>45762</v>
      </c>
      <c r="C471" s="39" t="s">
        <v>550</v>
      </c>
      <c r="D471" s="36" t="s">
        <v>219</v>
      </c>
      <c r="E471" s="36" t="s">
        <v>278</v>
      </c>
      <c r="F471" s="36" t="s">
        <v>70</v>
      </c>
      <c r="L471" s="42">
        <v>-13.82</v>
      </c>
    </row>
    <row r="472" spans="2:12" ht="14.4" x14ac:dyDescent="0.3">
      <c r="B472" s="39">
        <v>45762</v>
      </c>
      <c r="D472" s="36" t="s">
        <v>177</v>
      </c>
      <c r="E472" s="36" t="s">
        <v>322</v>
      </c>
      <c r="F472" s="36" t="s">
        <v>137</v>
      </c>
      <c r="L472" s="42">
        <v>-368</v>
      </c>
    </row>
    <row r="473" spans="2:12" ht="14.4" x14ac:dyDescent="0.3">
      <c r="B473" s="39">
        <v>45763</v>
      </c>
      <c r="D473" s="36" t="s">
        <v>279</v>
      </c>
      <c r="E473" s="36" t="s">
        <v>789</v>
      </c>
      <c r="F473" s="36" t="s">
        <v>137</v>
      </c>
      <c r="L473" s="42">
        <v>-900.39</v>
      </c>
    </row>
    <row r="474" spans="2:12" ht="14.4" x14ac:dyDescent="0.3">
      <c r="B474" s="39">
        <v>45763</v>
      </c>
      <c r="D474" s="36" t="s">
        <v>177</v>
      </c>
      <c r="E474" s="36" t="s">
        <v>327</v>
      </c>
      <c r="F474" s="36" t="s">
        <v>137</v>
      </c>
      <c r="L474" s="42">
        <v>-199.85</v>
      </c>
    </row>
    <row r="475" spans="2:12" ht="14.4" x14ac:dyDescent="0.3">
      <c r="B475" s="39">
        <v>45765</v>
      </c>
      <c r="D475" s="36" t="s">
        <v>57</v>
      </c>
      <c r="E475" s="36" t="s">
        <v>281</v>
      </c>
      <c r="F475" s="36" t="s">
        <v>282</v>
      </c>
      <c r="L475" s="42">
        <v>-20</v>
      </c>
    </row>
    <row r="476" spans="2:12" ht="14.4" x14ac:dyDescent="0.3">
      <c r="B476" s="39">
        <v>45766</v>
      </c>
      <c r="C476" s="39" t="s">
        <v>550</v>
      </c>
      <c r="D476" s="36" t="s">
        <v>219</v>
      </c>
      <c r="E476" s="36" t="s">
        <v>276</v>
      </c>
      <c r="F476" s="36" t="s">
        <v>137</v>
      </c>
      <c r="L476" s="42">
        <v>-900</v>
      </c>
    </row>
    <row r="477" spans="2:12" ht="14.4" x14ac:dyDescent="0.3">
      <c r="B477" s="39">
        <v>45766</v>
      </c>
      <c r="C477" s="39" t="s">
        <v>550</v>
      </c>
      <c r="D477" s="36" t="s">
        <v>219</v>
      </c>
      <c r="E477" s="36" t="s">
        <v>284</v>
      </c>
      <c r="F477" s="36" t="s">
        <v>72</v>
      </c>
      <c r="L477" s="42">
        <v>-20</v>
      </c>
    </row>
    <row r="478" spans="2:12" ht="14.4" x14ac:dyDescent="0.3">
      <c r="B478" s="39">
        <v>45767</v>
      </c>
      <c r="C478" s="39" t="s">
        <v>550</v>
      </c>
      <c r="D478" s="36" t="s">
        <v>219</v>
      </c>
      <c r="E478" s="36" t="s">
        <v>277</v>
      </c>
      <c r="F478" s="36" t="s">
        <v>137</v>
      </c>
      <c r="L478" s="42">
        <v>-900</v>
      </c>
    </row>
    <row r="479" spans="2:12" ht="14.4" x14ac:dyDescent="0.3">
      <c r="B479" s="39">
        <v>45767</v>
      </c>
      <c r="D479" s="36" t="s">
        <v>177</v>
      </c>
      <c r="E479" s="36" t="s">
        <v>328</v>
      </c>
      <c r="F479" s="36" t="s">
        <v>137</v>
      </c>
      <c r="L479" s="42">
        <v>-644.5</v>
      </c>
    </row>
    <row r="480" spans="2:12" ht="14.4" x14ac:dyDescent="0.3">
      <c r="B480" s="39">
        <v>45767</v>
      </c>
      <c r="D480" s="36" t="s">
        <v>177</v>
      </c>
      <c r="E480" s="36" t="s">
        <v>332</v>
      </c>
      <c r="F480" s="36" t="s">
        <v>137</v>
      </c>
      <c r="L480" s="42">
        <v>-74.38</v>
      </c>
    </row>
    <row r="481" spans="2:12" ht="14.4" x14ac:dyDescent="0.3">
      <c r="B481" s="39">
        <v>45768</v>
      </c>
      <c r="C481" s="39" t="s">
        <v>550</v>
      </c>
      <c r="D481" s="36" t="s">
        <v>219</v>
      </c>
      <c r="E481" s="36" t="s">
        <v>289</v>
      </c>
      <c r="F481" s="36" t="s">
        <v>72</v>
      </c>
      <c r="L481" s="42">
        <v>-10</v>
      </c>
    </row>
    <row r="482" spans="2:12" ht="14.4" x14ac:dyDescent="0.3">
      <c r="B482" s="39">
        <v>45768</v>
      </c>
      <c r="C482" s="39" t="s">
        <v>550</v>
      </c>
      <c r="D482" s="36" t="s">
        <v>219</v>
      </c>
      <c r="E482" s="36" t="s">
        <v>289</v>
      </c>
      <c r="F482" s="36" t="s">
        <v>72</v>
      </c>
      <c r="L482" s="42">
        <v>-5.01</v>
      </c>
    </row>
    <row r="483" spans="2:12" ht="14.4" x14ac:dyDescent="0.3">
      <c r="B483" s="39">
        <v>45768</v>
      </c>
      <c r="D483" s="36" t="s">
        <v>57</v>
      </c>
      <c r="E483" s="36" t="s">
        <v>292</v>
      </c>
      <c r="F483" s="36" t="s">
        <v>293</v>
      </c>
      <c r="L483" s="42">
        <v>-1492</v>
      </c>
    </row>
    <row r="484" spans="2:12" ht="14.4" x14ac:dyDescent="0.3">
      <c r="B484" s="39">
        <v>45768</v>
      </c>
      <c r="D484" s="36" t="s">
        <v>177</v>
      </c>
      <c r="E484" s="36" t="s">
        <v>333</v>
      </c>
      <c r="F484" s="36" t="s">
        <v>137</v>
      </c>
      <c r="L484" s="42">
        <v>-145.62</v>
      </c>
    </row>
    <row r="485" spans="2:12" ht="14.4" x14ac:dyDescent="0.3">
      <c r="B485" s="39">
        <v>45768</v>
      </c>
      <c r="D485" s="36" t="s">
        <v>177</v>
      </c>
      <c r="E485" s="36" t="s">
        <v>335</v>
      </c>
      <c r="F485" s="36" t="s">
        <v>137</v>
      </c>
      <c r="L485" s="42">
        <v>-62.09</v>
      </c>
    </row>
    <row r="486" spans="2:12" ht="14.4" x14ac:dyDescent="0.3">
      <c r="B486" s="39">
        <v>45769</v>
      </c>
      <c r="D486" s="36" t="s">
        <v>57</v>
      </c>
      <c r="E486" s="36" t="s">
        <v>294</v>
      </c>
      <c r="F486" s="36" t="s">
        <v>224</v>
      </c>
      <c r="L486" s="42">
        <v>-5420</v>
      </c>
    </row>
    <row r="487" spans="2:12" ht="14.4" x14ac:dyDescent="0.3">
      <c r="B487" s="39">
        <v>45770</v>
      </c>
      <c r="D487" s="36" t="s">
        <v>279</v>
      </c>
      <c r="E487" s="36" t="s">
        <v>291</v>
      </c>
      <c r="F487" s="36" t="s">
        <v>137</v>
      </c>
      <c r="L487" s="42">
        <v>-591.05999999999995</v>
      </c>
    </row>
    <row r="488" spans="2:12" ht="14.4" x14ac:dyDescent="0.3">
      <c r="B488" s="39">
        <v>45770</v>
      </c>
      <c r="D488" s="36" t="s">
        <v>260</v>
      </c>
      <c r="E488" s="36" t="s">
        <v>257</v>
      </c>
      <c r="F488" s="36" t="s">
        <v>131</v>
      </c>
      <c r="L488" s="42">
        <v>-38</v>
      </c>
    </row>
    <row r="489" spans="2:12" ht="14.4" x14ac:dyDescent="0.3">
      <c r="B489" s="39">
        <v>45770</v>
      </c>
      <c r="D489" s="36" t="s">
        <v>57</v>
      </c>
      <c r="E489" s="36" t="s">
        <v>296</v>
      </c>
      <c r="F489" s="36" t="s">
        <v>193</v>
      </c>
      <c r="L489" s="42">
        <v>-48.7</v>
      </c>
    </row>
    <row r="490" spans="2:12" ht="14.4" x14ac:dyDescent="0.3">
      <c r="B490" s="39">
        <v>45771</v>
      </c>
      <c r="C490" s="39" t="s">
        <v>550</v>
      </c>
      <c r="D490" s="36" t="s">
        <v>219</v>
      </c>
      <c r="E490" s="36" t="s">
        <v>280</v>
      </c>
      <c r="F490" s="36" t="s">
        <v>137</v>
      </c>
      <c r="L490" s="42">
        <v>-900</v>
      </c>
    </row>
    <row r="491" spans="2:12" ht="14.4" x14ac:dyDescent="0.3">
      <c r="B491" s="39">
        <v>45771</v>
      </c>
      <c r="D491" s="36" t="s">
        <v>279</v>
      </c>
      <c r="E491" s="36" t="s">
        <v>297</v>
      </c>
      <c r="F491" s="36" t="s">
        <v>137</v>
      </c>
      <c r="L491" s="42">
        <v>-283.01</v>
      </c>
    </row>
    <row r="492" spans="2:12" ht="14.4" x14ac:dyDescent="0.3">
      <c r="B492" s="39">
        <v>45771</v>
      </c>
      <c r="D492" s="36" t="s">
        <v>272</v>
      </c>
      <c r="E492" s="36" t="s">
        <v>298</v>
      </c>
      <c r="F492" s="36" t="s">
        <v>137</v>
      </c>
      <c r="L492" s="42">
        <v>-43</v>
      </c>
    </row>
    <row r="493" spans="2:12" ht="14.4" x14ac:dyDescent="0.3">
      <c r="B493" s="39">
        <v>45771</v>
      </c>
      <c r="C493" s="39" t="s">
        <v>550</v>
      </c>
      <c r="D493" s="36" t="s">
        <v>219</v>
      </c>
      <c r="E493" s="36" t="s">
        <v>300</v>
      </c>
      <c r="F493" s="36" t="s">
        <v>77</v>
      </c>
      <c r="L493" s="42">
        <v>-44.99</v>
      </c>
    </row>
    <row r="494" spans="2:12" ht="14.4" x14ac:dyDescent="0.3">
      <c r="B494" s="39">
        <v>45773</v>
      </c>
      <c r="D494" s="36" t="s">
        <v>279</v>
      </c>
      <c r="E494" s="36" t="s">
        <v>299</v>
      </c>
      <c r="F494" s="36" t="s">
        <v>137</v>
      </c>
      <c r="L494" s="42">
        <v>-514.80999999999995</v>
      </c>
    </row>
    <row r="495" spans="2:12" ht="14.4" x14ac:dyDescent="0.3">
      <c r="B495" s="39">
        <v>45773</v>
      </c>
      <c r="D495" s="36" t="s">
        <v>272</v>
      </c>
      <c r="E495" s="36" t="s">
        <v>301</v>
      </c>
      <c r="F495" s="36" t="s">
        <v>137</v>
      </c>
      <c r="L495" s="42">
        <v>-48</v>
      </c>
    </row>
    <row r="496" spans="2:12" ht="14.4" x14ac:dyDescent="0.3">
      <c r="B496" s="39">
        <v>45774</v>
      </c>
      <c r="C496" s="39" t="s">
        <v>550</v>
      </c>
      <c r="D496" s="36" t="s">
        <v>219</v>
      </c>
      <c r="E496" s="36" t="s">
        <v>283</v>
      </c>
      <c r="F496" s="36" t="s">
        <v>137</v>
      </c>
      <c r="L496" s="42">
        <v>-900</v>
      </c>
    </row>
    <row r="497" spans="2:12" ht="14.4" x14ac:dyDescent="0.3">
      <c r="B497" s="39">
        <v>45774</v>
      </c>
      <c r="D497" s="36" t="s">
        <v>272</v>
      </c>
      <c r="E497" s="36" t="s">
        <v>303</v>
      </c>
      <c r="F497" s="36" t="s">
        <v>137</v>
      </c>
      <c r="L497" s="42">
        <v>-27.47</v>
      </c>
    </row>
    <row r="498" spans="2:12" ht="14.4" x14ac:dyDescent="0.3">
      <c r="B498" s="39">
        <v>45775</v>
      </c>
      <c r="D498" s="36" t="s">
        <v>272</v>
      </c>
      <c r="E498" s="36" t="s">
        <v>304</v>
      </c>
      <c r="F498" s="36" t="s">
        <v>137</v>
      </c>
      <c r="L498" s="42">
        <v>-36.04</v>
      </c>
    </row>
    <row r="499" spans="2:12" ht="14.4" x14ac:dyDescent="0.3">
      <c r="B499" s="39">
        <v>45775</v>
      </c>
      <c r="D499" s="36" t="s">
        <v>272</v>
      </c>
      <c r="E499" s="36" t="s">
        <v>305</v>
      </c>
      <c r="F499" s="36" t="s">
        <v>137</v>
      </c>
      <c r="L499" s="42">
        <v>-6.31</v>
      </c>
    </row>
    <row r="500" spans="2:12" ht="14.4" x14ac:dyDescent="0.3">
      <c r="B500" s="39">
        <v>45775</v>
      </c>
      <c r="D500" s="36" t="s">
        <v>272</v>
      </c>
      <c r="E500" s="36" t="s">
        <v>306</v>
      </c>
      <c r="F500" s="36" t="s">
        <v>137</v>
      </c>
      <c r="L500" s="42">
        <v>-1.46</v>
      </c>
    </row>
    <row r="501" spans="2:12" ht="14.4" x14ac:dyDescent="0.3">
      <c r="B501" s="39">
        <v>45775</v>
      </c>
      <c r="C501" s="39" t="s">
        <v>550</v>
      </c>
      <c r="D501" s="36" t="s">
        <v>219</v>
      </c>
      <c r="E501" s="36" t="s">
        <v>205</v>
      </c>
      <c r="F501" s="36" t="s">
        <v>70</v>
      </c>
      <c r="L501" s="42">
        <v>-19.34</v>
      </c>
    </row>
    <row r="502" spans="2:12" ht="14.4" x14ac:dyDescent="0.3">
      <c r="B502" s="39">
        <v>45777</v>
      </c>
      <c r="C502" s="39" t="s">
        <v>551</v>
      </c>
      <c r="D502" s="36" t="s">
        <v>173</v>
      </c>
      <c r="E502" s="36" t="s">
        <v>533</v>
      </c>
      <c r="F502" s="36" t="s">
        <v>524</v>
      </c>
      <c r="K502" s="42">
        <v>1643</v>
      </c>
    </row>
    <row r="503" spans="2:12" ht="14.4" x14ac:dyDescent="0.3">
      <c r="B503" s="39">
        <v>45777</v>
      </c>
      <c r="C503" s="39" t="s">
        <v>551</v>
      </c>
      <c r="D503" s="36" t="s">
        <v>173</v>
      </c>
      <c r="E503" s="36" t="s">
        <v>533</v>
      </c>
      <c r="F503" s="36" t="s">
        <v>524</v>
      </c>
      <c r="K503" s="42">
        <v>842</v>
      </c>
    </row>
    <row r="504" spans="2:12" ht="14.4" x14ac:dyDescent="0.3">
      <c r="B504" s="39">
        <v>45777</v>
      </c>
      <c r="D504" s="36" t="s">
        <v>194</v>
      </c>
      <c r="E504" s="36" t="s">
        <v>533</v>
      </c>
      <c r="F504" s="36" t="s">
        <v>524</v>
      </c>
      <c r="H504" s="42">
        <v>1888</v>
      </c>
    </row>
    <row r="505" spans="2:12" ht="14.4" x14ac:dyDescent="0.3">
      <c r="B505" s="39">
        <v>45777</v>
      </c>
      <c r="D505" s="36" t="s">
        <v>310</v>
      </c>
      <c r="E505" s="36" t="s">
        <v>311</v>
      </c>
      <c r="F505" s="36" t="s">
        <v>110</v>
      </c>
      <c r="K505" s="42">
        <v>-2740</v>
      </c>
      <c r="L505" s="42">
        <v>2740.64</v>
      </c>
    </row>
    <row r="506" spans="2:12" ht="14.4" x14ac:dyDescent="0.3">
      <c r="B506" s="39">
        <v>45777</v>
      </c>
      <c r="C506" s="39" t="s">
        <v>550</v>
      </c>
      <c r="D506" s="36" t="s">
        <v>219</v>
      </c>
      <c r="E506" s="36" t="s">
        <v>285</v>
      </c>
      <c r="F506" s="36" t="s">
        <v>137</v>
      </c>
      <c r="L506" s="42">
        <v>-292.16000000000003</v>
      </c>
    </row>
    <row r="507" spans="2:12" ht="14.4" x14ac:dyDescent="0.3">
      <c r="B507" s="39">
        <v>45777</v>
      </c>
      <c r="D507" s="36" t="s">
        <v>272</v>
      </c>
      <c r="E507" s="36" t="s">
        <v>308</v>
      </c>
      <c r="F507" s="36" t="s">
        <v>137</v>
      </c>
      <c r="L507" s="42">
        <v>-4.13</v>
      </c>
    </row>
    <row r="508" spans="2:12" ht="14.4" x14ac:dyDescent="0.3">
      <c r="B508" s="39">
        <v>45777</v>
      </c>
      <c r="C508" s="39" t="s">
        <v>550</v>
      </c>
      <c r="D508" s="36" t="s">
        <v>219</v>
      </c>
      <c r="E508" s="36" t="s">
        <v>312</v>
      </c>
      <c r="F508" s="36" t="s">
        <v>115</v>
      </c>
      <c r="L508" s="42">
        <v>-50</v>
      </c>
    </row>
    <row r="509" spans="2:12" ht="14.4" x14ac:dyDescent="0.3">
      <c r="B509" s="39">
        <v>45777</v>
      </c>
      <c r="D509" s="36" t="s">
        <v>177</v>
      </c>
      <c r="E509" s="36" t="s">
        <v>168</v>
      </c>
      <c r="F509" s="36" t="s">
        <v>524</v>
      </c>
      <c r="K509" s="42">
        <v>1675</v>
      </c>
    </row>
    <row r="510" spans="2:12" ht="14.4" x14ac:dyDescent="0.3">
      <c r="B510" s="39">
        <v>45778</v>
      </c>
      <c r="D510" s="36" t="s">
        <v>272</v>
      </c>
      <c r="E510" s="36" t="s">
        <v>309</v>
      </c>
      <c r="F510" s="36" t="s">
        <v>137</v>
      </c>
      <c r="L510" s="42">
        <v>-53</v>
      </c>
    </row>
    <row r="511" spans="2:12" ht="14.4" x14ac:dyDescent="0.3">
      <c r="B511" s="39">
        <v>45779</v>
      </c>
      <c r="D511" s="36" t="s">
        <v>258</v>
      </c>
      <c r="E511" s="36" t="s">
        <v>257</v>
      </c>
      <c r="F511" s="36" t="s">
        <v>131</v>
      </c>
      <c r="L511" s="42">
        <v>-38</v>
      </c>
    </row>
    <row r="512" spans="2:12" ht="14.4" x14ac:dyDescent="0.3">
      <c r="B512" s="39">
        <v>45780</v>
      </c>
      <c r="D512" s="36" t="s">
        <v>272</v>
      </c>
      <c r="E512" s="36" t="s">
        <v>313</v>
      </c>
      <c r="F512" s="36" t="s">
        <v>137</v>
      </c>
      <c r="L512" s="42">
        <v>-59</v>
      </c>
    </row>
    <row r="513" spans="2:12" ht="14.4" x14ac:dyDescent="0.3">
      <c r="B513" s="39">
        <v>45781</v>
      </c>
      <c r="C513" s="39" t="s">
        <v>550</v>
      </c>
      <c r="D513" s="36" t="s">
        <v>219</v>
      </c>
      <c r="E513" s="36" t="s">
        <v>286</v>
      </c>
      <c r="F513" s="36" t="s">
        <v>137</v>
      </c>
      <c r="L513" s="42">
        <v>-900</v>
      </c>
    </row>
    <row r="514" spans="2:12" ht="14.4" x14ac:dyDescent="0.3">
      <c r="B514" s="39">
        <v>45781</v>
      </c>
      <c r="C514" s="39" t="s">
        <v>550</v>
      </c>
      <c r="D514" s="36" t="s">
        <v>219</v>
      </c>
      <c r="E514" s="36" t="s">
        <v>287</v>
      </c>
      <c r="F514" s="36" t="s">
        <v>137</v>
      </c>
      <c r="L514" s="42">
        <v>-900</v>
      </c>
    </row>
    <row r="515" spans="2:12" ht="14.4" x14ac:dyDescent="0.3">
      <c r="B515" s="39">
        <v>45781</v>
      </c>
      <c r="D515" s="36" t="s">
        <v>57</v>
      </c>
      <c r="E515" s="36" t="s">
        <v>317</v>
      </c>
      <c r="F515" s="36" t="s">
        <v>70</v>
      </c>
      <c r="L515" s="42">
        <v>-6.34</v>
      </c>
    </row>
    <row r="516" spans="2:12" ht="14.4" x14ac:dyDescent="0.3">
      <c r="B516" s="39">
        <v>45781</v>
      </c>
      <c r="C516" s="39" t="s">
        <v>550</v>
      </c>
      <c r="D516" s="36" t="s">
        <v>219</v>
      </c>
      <c r="E516" s="36" t="s">
        <v>264</v>
      </c>
      <c r="F516" s="36" t="s">
        <v>121</v>
      </c>
      <c r="L516" s="42">
        <v>-50</v>
      </c>
    </row>
    <row r="517" spans="2:12" ht="14.4" x14ac:dyDescent="0.3">
      <c r="B517" s="39">
        <v>45782</v>
      </c>
      <c r="C517" s="39" t="s">
        <v>550</v>
      </c>
      <c r="D517" s="36" t="s">
        <v>219</v>
      </c>
      <c r="E517" s="36" t="s">
        <v>288</v>
      </c>
      <c r="F517" s="36" t="s">
        <v>137</v>
      </c>
      <c r="L517" s="42">
        <v>-900</v>
      </c>
    </row>
    <row r="518" spans="2:12" ht="14.4" x14ac:dyDescent="0.3">
      <c r="B518" s="39">
        <v>45782</v>
      </c>
      <c r="C518" s="39" t="s">
        <v>550</v>
      </c>
      <c r="D518" s="36" t="s">
        <v>219</v>
      </c>
      <c r="E518" s="36" t="s">
        <v>264</v>
      </c>
      <c r="F518" s="36" t="s">
        <v>121</v>
      </c>
      <c r="L518" s="42">
        <v>-50</v>
      </c>
    </row>
    <row r="519" spans="2:12" ht="14.4" x14ac:dyDescent="0.3">
      <c r="B519" s="39">
        <v>45783</v>
      </c>
      <c r="C519" s="39" t="s">
        <v>550</v>
      </c>
      <c r="D519" s="36" t="s">
        <v>219</v>
      </c>
      <c r="E519" s="36" t="s">
        <v>290</v>
      </c>
      <c r="F519" s="36" t="s">
        <v>137</v>
      </c>
      <c r="L519" s="42">
        <v>-900</v>
      </c>
    </row>
    <row r="520" spans="2:12" ht="14.4" x14ac:dyDescent="0.3">
      <c r="B520" s="39">
        <v>45783</v>
      </c>
      <c r="C520" s="39" t="s">
        <v>550</v>
      </c>
      <c r="D520" s="36" t="s">
        <v>219</v>
      </c>
      <c r="E520" s="36" t="s">
        <v>295</v>
      </c>
      <c r="F520" s="36" t="s">
        <v>137</v>
      </c>
      <c r="L520" s="42">
        <v>-900</v>
      </c>
    </row>
    <row r="521" spans="2:12" ht="14.4" x14ac:dyDescent="0.3">
      <c r="B521" s="39">
        <v>45783</v>
      </c>
      <c r="C521" s="39" t="s">
        <v>550</v>
      </c>
      <c r="D521" s="36" t="s">
        <v>219</v>
      </c>
      <c r="E521" s="36" t="s">
        <v>302</v>
      </c>
      <c r="F521" s="36" t="s">
        <v>137</v>
      </c>
      <c r="L521" s="42">
        <v>-900</v>
      </c>
    </row>
    <row r="522" spans="2:12" ht="14.4" x14ac:dyDescent="0.3">
      <c r="B522" s="39">
        <v>45783</v>
      </c>
      <c r="D522" s="36" t="s">
        <v>323</v>
      </c>
      <c r="E522" s="36" t="s">
        <v>257</v>
      </c>
      <c r="F522" s="36" t="s">
        <v>131</v>
      </c>
      <c r="L522" s="42">
        <v>-38</v>
      </c>
    </row>
    <row r="523" spans="2:12" ht="14.4" x14ac:dyDescent="0.3">
      <c r="B523" s="39">
        <v>45783</v>
      </c>
      <c r="C523" s="39" t="s">
        <v>550</v>
      </c>
      <c r="D523" s="36" t="s">
        <v>219</v>
      </c>
      <c r="E523" s="36" t="s">
        <v>278</v>
      </c>
      <c r="F523" s="36" t="s">
        <v>70</v>
      </c>
      <c r="L523" s="42">
        <v>-13.38</v>
      </c>
    </row>
    <row r="524" spans="2:12" ht="14.4" x14ac:dyDescent="0.3">
      <c r="B524" s="39">
        <v>45783</v>
      </c>
      <c r="C524" s="39" t="s">
        <v>551</v>
      </c>
      <c r="D524" s="36" t="s">
        <v>219</v>
      </c>
      <c r="E524" s="36" t="s">
        <v>324</v>
      </c>
      <c r="F524" s="36" t="s">
        <v>325</v>
      </c>
      <c r="L524" s="42">
        <v>300</v>
      </c>
    </row>
    <row r="525" spans="2:12" ht="14.4" x14ac:dyDescent="0.3">
      <c r="B525" s="39">
        <v>45784</v>
      </c>
      <c r="C525" s="39" t="s">
        <v>550</v>
      </c>
      <c r="D525" s="36" t="s">
        <v>219</v>
      </c>
      <c r="E525" s="36" t="s">
        <v>307</v>
      </c>
      <c r="F525" s="36" t="s">
        <v>137</v>
      </c>
      <c r="L525" s="42">
        <v>-900</v>
      </c>
    </row>
    <row r="526" spans="2:12" ht="14.4" x14ac:dyDescent="0.3">
      <c r="B526" s="39">
        <v>45784</v>
      </c>
      <c r="D526" s="36" t="s">
        <v>272</v>
      </c>
      <c r="E526" s="36" t="s">
        <v>326</v>
      </c>
      <c r="F526" s="36" t="s">
        <v>137</v>
      </c>
      <c r="L526" s="42">
        <v>-58.59</v>
      </c>
    </row>
    <row r="527" spans="2:12" ht="14.4" x14ac:dyDescent="0.3">
      <c r="B527" s="39">
        <v>45784</v>
      </c>
      <c r="C527" s="39" t="s">
        <v>550</v>
      </c>
      <c r="D527" s="36" t="s">
        <v>219</v>
      </c>
      <c r="E527" s="36" t="s">
        <v>257</v>
      </c>
      <c r="F527" s="36" t="s">
        <v>131</v>
      </c>
      <c r="L527" s="42">
        <v>-38</v>
      </c>
    </row>
    <row r="528" spans="2:12" ht="14.4" x14ac:dyDescent="0.3">
      <c r="B528" s="39">
        <v>45784</v>
      </c>
      <c r="C528" s="39" t="s">
        <v>550</v>
      </c>
      <c r="D528" s="36" t="s">
        <v>219</v>
      </c>
      <c r="E528" s="36" t="s">
        <v>264</v>
      </c>
      <c r="F528" s="36" t="s">
        <v>121</v>
      </c>
      <c r="L528" s="42">
        <v>-149.66</v>
      </c>
    </row>
    <row r="529" spans="2:12" ht="14.4" x14ac:dyDescent="0.3">
      <c r="B529" s="39">
        <v>45784</v>
      </c>
      <c r="C529" s="39" t="s">
        <v>550</v>
      </c>
      <c r="D529" s="36" t="s">
        <v>219</v>
      </c>
      <c r="E529" s="36" t="s">
        <v>264</v>
      </c>
      <c r="F529" s="36" t="s">
        <v>121</v>
      </c>
      <c r="L529" s="42">
        <v>-50</v>
      </c>
    </row>
    <row r="530" spans="2:12" ht="14.4" x14ac:dyDescent="0.3">
      <c r="B530" s="39">
        <v>45785</v>
      </c>
      <c r="C530" s="39" t="s">
        <v>550</v>
      </c>
      <c r="D530" s="36" t="s">
        <v>219</v>
      </c>
      <c r="E530" s="36" t="s">
        <v>314</v>
      </c>
      <c r="F530" s="36" t="s">
        <v>137</v>
      </c>
      <c r="L530" s="42">
        <v>-900</v>
      </c>
    </row>
    <row r="531" spans="2:12" ht="14.4" x14ac:dyDescent="0.3">
      <c r="B531" s="39">
        <v>45785</v>
      </c>
      <c r="D531" s="36" t="s">
        <v>57</v>
      </c>
      <c r="E531" s="36" t="s">
        <v>212</v>
      </c>
      <c r="F531" s="36" t="s">
        <v>70</v>
      </c>
      <c r="L531" s="42">
        <v>-13.92</v>
      </c>
    </row>
    <row r="532" spans="2:12" ht="14.4" x14ac:dyDescent="0.3">
      <c r="B532" s="39">
        <v>45785</v>
      </c>
      <c r="D532" s="36" t="s">
        <v>57</v>
      </c>
      <c r="E532" s="36" t="s">
        <v>329</v>
      </c>
      <c r="F532" s="36" t="s">
        <v>330</v>
      </c>
      <c r="L532" s="42">
        <v>-2378.6999999999998</v>
      </c>
    </row>
    <row r="533" spans="2:12" ht="14.4" x14ac:dyDescent="0.3">
      <c r="B533" s="39">
        <v>45786</v>
      </c>
      <c r="C533" s="39" t="s">
        <v>550</v>
      </c>
      <c r="D533" s="36" t="s">
        <v>219</v>
      </c>
      <c r="E533" s="36" t="s">
        <v>315</v>
      </c>
      <c r="F533" s="36" t="s">
        <v>137</v>
      </c>
      <c r="L533" s="42">
        <v>-900</v>
      </c>
    </row>
    <row r="534" spans="2:12" ht="14.4" x14ac:dyDescent="0.3">
      <c r="B534" s="39">
        <v>45786</v>
      </c>
      <c r="D534" s="36" t="s">
        <v>272</v>
      </c>
      <c r="E534" s="36" t="s">
        <v>331</v>
      </c>
      <c r="F534" s="36" t="s">
        <v>137</v>
      </c>
      <c r="L534" s="42">
        <v>-36.18</v>
      </c>
    </row>
    <row r="535" spans="2:12" ht="14.4" x14ac:dyDescent="0.3">
      <c r="B535" s="39">
        <v>45786</v>
      </c>
      <c r="D535" s="36" t="s">
        <v>57</v>
      </c>
      <c r="E535" s="36" t="s">
        <v>218</v>
      </c>
      <c r="F535" s="36" t="s">
        <v>70</v>
      </c>
      <c r="L535" s="42">
        <v>-57.9</v>
      </c>
    </row>
    <row r="536" spans="2:12" ht="14.4" x14ac:dyDescent="0.3">
      <c r="B536" s="39">
        <v>45787</v>
      </c>
      <c r="C536" s="39" t="s">
        <v>550</v>
      </c>
      <c r="D536" s="36" t="s">
        <v>219</v>
      </c>
      <c r="E536" s="36" t="s">
        <v>316</v>
      </c>
      <c r="F536" s="36" t="s">
        <v>137</v>
      </c>
      <c r="L536" s="42">
        <v>-900</v>
      </c>
    </row>
    <row r="537" spans="2:12" ht="14.4" x14ac:dyDescent="0.3">
      <c r="B537" s="39">
        <v>45787</v>
      </c>
      <c r="D537" s="36" t="s">
        <v>272</v>
      </c>
      <c r="E537" s="36" t="s">
        <v>334</v>
      </c>
      <c r="F537" s="36" t="s">
        <v>137</v>
      </c>
      <c r="L537" s="42">
        <v>-9.11</v>
      </c>
    </row>
    <row r="538" spans="2:12" ht="14.4" x14ac:dyDescent="0.3">
      <c r="B538" s="39">
        <v>45787</v>
      </c>
      <c r="C538" s="39" t="s">
        <v>550</v>
      </c>
      <c r="D538" s="36" t="s">
        <v>219</v>
      </c>
      <c r="E538" s="36" t="s">
        <v>264</v>
      </c>
      <c r="F538" s="36" t="s">
        <v>121</v>
      </c>
      <c r="L538" s="42">
        <v>-50</v>
      </c>
    </row>
    <row r="539" spans="2:12" ht="14.4" x14ac:dyDescent="0.3">
      <c r="B539" s="39">
        <v>45787</v>
      </c>
      <c r="D539" s="36" t="s">
        <v>57</v>
      </c>
      <c r="E539" s="36" t="s">
        <v>336</v>
      </c>
      <c r="F539" s="36" t="s">
        <v>383</v>
      </c>
      <c r="L539" s="42">
        <v>-23.23</v>
      </c>
    </row>
    <row r="540" spans="2:12" ht="14.4" x14ac:dyDescent="0.3">
      <c r="B540" s="39">
        <v>45787</v>
      </c>
      <c r="D540" s="36" t="s">
        <v>177</v>
      </c>
      <c r="E540" s="36" t="s">
        <v>337</v>
      </c>
      <c r="F540" s="36" t="s">
        <v>137</v>
      </c>
      <c r="L540" s="42">
        <v>-249.22</v>
      </c>
    </row>
    <row r="541" spans="2:12" ht="14.4" x14ac:dyDescent="0.3">
      <c r="B541" s="39">
        <v>45788</v>
      </c>
      <c r="C541" s="39" t="s">
        <v>550</v>
      </c>
      <c r="D541" s="36" t="s">
        <v>219</v>
      </c>
      <c r="E541" s="36" t="s">
        <v>318</v>
      </c>
      <c r="F541" s="36" t="s">
        <v>137</v>
      </c>
      <c r="L541" s="42">
        <v>-1200</v>
      </c>
    </row>
    <row r="542" spans="2:12" ht="14.4" x14ac:dyDescent="0.3">
      <c r="B542" s="39">
        <v>45788</v>
      </c>
      <c r="C542" s="39" t="s">
        <v>550</v>
      </c>
      <c r="D542" s="36" t="s">
        <v>219</v>
      </c>
      <c r="E542" s="36" t="s">
        <v>319</v>
      </c>
      <c r="F542" s="36" t="s">
        <v>137</v>
      </c>
      <c r="L542" s="42">
        <v>-900</v>
      </c>
    </row>
    <row r="543" spans="2:12" ht="14.4" x14ac:dyDescent="0.3">
      <c r="B543" s="39">
        <v>45788</v>
      </c>
      <c r="C543" s="39" t="s">
        <v>550</v>
      </c>
      <c r="D543" s="36" t="s">
        <v>219</v>
      </c>
      <c r="E543" s="36" t="s">
        <v>264</v>
      </c>
      <c r="F543" s="36" t="s">
        <v>121</v>
      </c>
      <c r="L543" s="42">
        <v>-50</v>
      </c>
    </row>
    <row r="544" spans="2:12" ht="14.4" x14ac:dyDescent="0.3">
      <c r="B544" s="39">
        <v>45789</v>
      </c>
      <c r="C544" s="39" t="s">
        <v>550</v>
      </c>
      <c r="D544" s="36" t="s">
        <v>219</v>
      </c>
      <c r="E544" s="36" t="s">
        <v>320</v>
      </c>
      <c r="F544" s="36" t="s">
        <v>137</v>
      </c>
      <c r="L544" s="42">
        <v>-1300</v>
      </c>
    </row>
    <row r="545" spans="2:12" ht="14.4" x14ac:dyDescent="0.3">
      <c r="B545" s="39">
        <v>45789</v>
      </c>
      <c r="C545" s="39" t="s">
        <v>550</v>
      </c>
      <c r="D545" s="36" t="s">
        <v>219</v>
      </c>
      <c r="E545" s="36" t="s">
        <v>338</v>
      </c>
      <c r="F545" s="36" t="s">
        <v>137</v>
      </c>
      <c r="L545" s="42">
        <v>-900</v>
      </c>
    </row>
    <row r="546" spans="2:12" ht="14.4" x14ac:dyDescent="0.3">
      <c r="B546" s="39">
        <v>45789</v>
      </c>
      <c r="C546" s="39" t="s">
        <v>550</v>
      </c>
      <c r="D546" s="36" t="s">
        <v>219</v>
      </c>
      <c r="E546" s="36" t="s">
        <v>339</v>
      </c>
      <c r="F546" s="36" t="s">
        <v>137</v>
      </c>
      <c r="L546" s="42">
        <v>-900</v>
      </c>
    </row>
    <row r="547" spans="2:12" ht="14.4" x14ac:dyDescent="0.3">
      <c r="B547" s="39">
        <v>45789</v>
      </c>
      <c r="D547" s="36" t="s">
        <v>260</v>
      </c>
      <c r="E547" s="36" t="s">
        <v>340</v>
      </c>
      <c r="F547" s="36" t="s">
        <v>70</v>
      </c>
      <c r="L547" s="42">
        <v>-9.2200000000000006</v>
      </c>
    </row>
    <row r="548" spans="2:12" ht="14.4" x14ac:dyDescent="0.3">
      <c r="B548" s="39">
        <v>45790</v>
      </c>
      <c r="D548" s="36" t="s">
        <v>57</v>
      </c>
      <c r="E548" s="36" t="s">
        <v>341</v>
      </c>
      <c r="F548" s="36" t="s">
        <v>200</v>
      </c>
      <c r="L548" s="42">
        <v>-59</v>
      </c>
    </row>
    <row r="549" spans="2:12" ht="14.4" x14ac:dyDescent="0.3">
      <c r="B549" s="39">
        <v>45790</v>
      </c>
      <c r="D549" s="36" t="s">
        <v>57</v>
      </c>
      <c r="E549" s="36" t="s">
        <v>220</v>
      </c>
      <c r="F549" s="36" t="s">
        <v>70</v>
      </c>
      <c r="L549" s="42">
        <v>-17.07</v>
      </c>
    </row>
    <row r="550" spans="2:12" ht="14.4" x14ac:dyDescent="0.3">
      <c r="B550" s="39">
        <v>45790</v>
      </c>
      <c r="C550" s="39" t="s">
        <v>550</v>
      </c>
      <c r="D550" s="36" t="s">
        <v>219</v>
      </c>
      <c r="E550" s="36" t="s">
        <v>264</v>
      </c>
      <c r="F550" s="36" t="s">
        <v>121</v>
      </c>
      <c r="L550" s="42">
        <v>-50</v>
      </c>
    </row>
    <row r="551" spans="2:12" ht="14.4" x14ac:dyDescent="0.3">
      <c r="B551" s="39">
        <v>45790</v>
      </c>
      <c r="C551" s="39" t="s">
        <v>550</v>
      </c>
      <c r="D551" s="36" t="s">
        <v>219</v>
      </c>
      <c r="E551" s="36" t="s">
        <v>264</v>
      </c>
      <c r="F551" s="36" t="s">
        <v>121</v>
      </c>
      <c r="L551" s="42">
        <v>-0.66</v>
      </c>
    </row>
    <row r="552" spans="2:12" ht="14.4" x14ac:dyDescent="0.3">
      <c r="B552" s="39">
        <v>45791</v>
      </c>
      <c r="D552" s="36" t="s">
        <v>272</v>
      </c>
      <c r="E552" s="36" t="s">
        <v>342</v>
      </c>
      <c r="F552" s="36" t="s">
        <v>137</v>
      </c>
      <c r="L552" s="42">
        <v>-32.08</v>
      </c>
    </row>
    <row r="553" spans="2:12" ht="14.4" x14ac:dyDescent="0.3">
      <c r="B553" s="39">
        <v>45791</v>
      </c>
      <c r="D553" s="36" t="s">
        <v>57</v>
      </c>
      <c r="E553" s="36" t="s">
        <v>317</v>
      </c>
      <c r="F553" s="36" t="s">
        <v>70</v>
      </c>
      <c r="L553" s="42">
        <v>-9.2200000000000006</v>
      </c>
    </row>
    <row r="554" spans="2:12" ht="14.4" x14ac:dyDescent="0.3">
      <c r="B554" s="39">
        <v>45792</v>
      </c>
      <c r="C554" s="39" t="s">
        <v>553</v>
      </c>
      <c r="D554" s="36" t="s">
        <v>194</v>
      </c>
      <c r="E554" s="36" t="s">
        <v>532</v>
      </c>
      <c r="F554" s="36" t="s">
        <v>547</v>
      </c>
      <c r="G554" s="42">
        <v>-2129</v>
      </c>
    </row>
    <row r="555" spans="2:12" ht="14.4" x14ac:dyDescent="0.3">
      <c r="B555" s="39">
        <v>45792</v>
      </c>
      <c r="C555" s="39" t="s">
        <v>550</v>
      </c>
      <c r="D555" s="36" t="s">
        <v>57</v>
      </c>
      <c r="E555" s="36" t="s">
        <v>546</v>
      </c>
      <c r="F555" s="36" t="s">
        <v>330</v>
      </c>
      <c r="H555" s="42">
        <v>-2129</v>
      </c>
    </row>
    <row r="556" spans="2:12" ht="14.4" x14ac:dyDescent="0.3">
      <c r="B556" s="39">
        <v>45792</v>
      </c>
      <c r="C556" s="39" t="s">
        <v>554</v>
      </c>
      <c r="D556" s="36" t="s">
        <v>57</v>
      </c>
      <c r="E556" s="36" t="s">
        <v>529</v>
      </c>
      <c r="F556" s="36" t="s">
        <v>974</v>
      </c>
      <c r="G556" s="42">
        <v>2129</v>
      </c>
    </row>
    <row r="557" spans="2:12" ht="14.4" x14ac:dyDescent="0.3">
      <c r="B557" s="39">
        <v>45792</v>
      </c>
      <c r="C557" s="39" t="s">
        <v>550</v>
      </c>
      <c r="D557" s="36" t="s">
        <v>219</v>
      </c>
      <c r="E557" s="36" t="s">
        <v>264</v>
      </c>
      <c r="F557" s="36" t="s">
        <v>121</v>
      </c>
      <c r="L557" s="42">
        <v>-50</v>
      </c>
    </row>
    <row r="558" spans="2:12" ht="14.4" x14ac:dyDescent="0.3">
      <c r="B558" s="39">
        <v>45794</v>
      </c>
      <c r="C558" s="39" t="s">
        <v>550</v>
      </c>
      <c r="D558" s="36" t="s">
        <v>219</v>
      </c>
      <c r="E558" s="36" t="s">
        <v>264</v>
      </c>
      <c r="F558" s="36" t="s">
        <v>121</v>
      </c>
      <c r="L558" s="42">
        <v>-50</v>
      </c>
    </row>
    <row r="559" spans="2:12" ht="14.4" x14ac:dyDescent="0.3">
      <c r="B559" s="39">
        <v>45795</v>
      </c>
      <c r="D559" s="36" t="s">
        <v>57</v>
      </c>
      <c r="E559" s="36" t="s">
        <v>281</v>
      </c>
      <c r="F559" s="36" t="s">
        <v>282</v>
      </c>
      <c r="L559" s="42">
        <v>-20</v>
      </c>
    </row>
    <row r="560" spans="2:12" ht="14.4" x14ac:dyDescent="0.3">
      <c r="B560" s="39">
        <v>45795</v>
      </c>
      <c r="C560" s="39" t="s">
        <v>550</v>
      </c>
      <c r="D560" s="36" t="s">
        <v>219</v>
      </c>
      <c r="E560" s="36" t="s">
        <v>264</v>
      </c>
      <c r="F560" s="36" t="s">
        <v>121</v>
      </c>
      <c r="L560" s="42">
        <v>-50</v>
      </c>
    </row>
    <row r="561" spans="2:12" ht="14.4" x14ac:dyDescent="0.3">
      <c r="B561" s="39">
        <v>45796</v>
      </c>
      <c r="D561" s="36" t="s">
        <v>57</v>
      </c>
      <c r="E561" s="36" t="s">
        <v>284</v>
      </c>
      <c r="F561" s="36" t="s">
        <v>343</v>
      </c>
      <c r="L561" s="42">
        <v>-20</v>
      </c>
    </row>
    <row r="562" spans="2:12" ht="14.4" x14ac:dyDescent="0.3">
      <c r="B562" s="39">
        <v>45796</v>
      </c>
      <c r="C562" s="39" t="s">
        <v>550</v>
      </c>
      <c r="D562" s="36" t="s">
        <v>219</v>
      </c>
      <c r="E562" s="36" t="s">
        <v>264</v>
      </c>
      <c r="F562" s="36" t="s">
        <v>121</v>
      </c>
      <c r="L562" s="42">
        <v>-50</v>
      </c>
    </row>
    <row r="563" spans="2:12" ht="14.4" x14ac:dyDescent="0.3">
      <c r="B563" s="39">
        <v>45797</v>
      </c>
      <c r="C563" s="39" t="s">
        <v>550</v>
      </c>
      <c r="D563" s="36" t="s">
        <v>219</v>
      </c>
      <c r="E563" s="36" t="s">
        <v>264</v>
      </c>
      <c r="F563" s="36" t="s">
        <v>121</v>
      </c>
      <c r="L563" s="42">
        <v>-50</v>
      </c>
    </row>
    <row r="564" spans="2:12" ht="14.4" x14ac:dyDescent="0.3">
      <c r="B564" s="39">
        <v>45797</v>
      </c>
      <c r="C564" s="39" t="s">
        <v>550</v>
      </c>
      <c r="D564" s="36" t="s">
        <v>219</v>
      </c>
      <c r="E564" s="36" t="s">
        <v>264</v>
      </c>
      <c r="F564" s="36" t="s">
        <v>121</v>
      </c>
      <c r="L564" s="42">
        <v>-15</v>
      </c>
    </row>
    <row r="565" spans="2:12" ht="14.4" x14ac:dyDescent="0.3">
      <c r="B565" s="39">
        <v>45797</v>
      </c>
      <c r="C565" s="39" t="s">
        <v>550</v>
      </c>
      <c r="D565" s="36" t="s">
        <v>219</v>
      </c>
      <c r="E565" s="36" t="s">
        <v>264</v>
      </c>
      <c r="F565" s="36" t="s">
        <v>121</v>
      </c>
      <c r="L565" s="42">
        <v>-10</v>
      </c>
    </row>
    <row r="566" spans="2:12" ht="14.4" x14ac:dyDescent="0.3">
      <c r="B566" s="39">
        <v>45797</v>
      </c>
      <c r="D566" s="36" t="s">
        <v>57</v>
      </c>
      <c r="E566" s="36" t="s">
        <v>344</v>
      </c>
      <c r="F566" s="36" t="s">
        <v>330</v>
      </c>
      <c r="L566" s="42">
        <v>-510.2</v>
      </c>
    </row>
    <row r="567" spans="2:12" ht="14.4" x14ac:dyDescent="0.3">
      <c r="B567" s="39">
        <v>45798</v>
      </c>
      <c r="D567" s="36" t="s">
        <v>310</v>
      </c>
      <c r="E567" s="36" t="s">
        <v>311</v>
      </c>
      <c r="F567" s="36" t="s">
        <v>55</v>
      </c>
      <c r="K567" s="42">
        <v>-2541.6999999999998</v>
      </c>
      <c r="L567" s="42">
        <v>2541.71</v>
      </c>
    </row>
    <row r="568" spans="2:12" ht="14.4" x14ac:dyDescent="0.3">
      <c r="B568" s="39">
        <v>45798</v>
      </c>
      <c r="C568" s="39" t="s">
        <v>550</v>
      </c>
      <c r="D568" s="36" t="s">
        <v>219</v>
      </c>
      <c r="E568" s="36" t="s">
        <v>264</v>
      </c>
      <c r="F568" s="36" t="s">
        <v>121</v>
      </c>
      <c r="L568" s="42">
        <v>-50</v>
      </c>
    </row>
    <row r="569" spans="2:12" ht="14.4" x14ac:dyDescent="0.3">
      <c r="B569" s="39">
        <v>45802</v>
      </c>
      <c r="D569" s="36" t="s">
        <v>57</v>
      </c>
      <c r="E569" s="36" t="s">
        <v>345</v>
      </c>
      <c r="F569" s="36" t="s">
        <v>202</v>
      </c>
      <c r="L569" s="42">
        <v>-20</v>
      </c>
    </row>
    <row r="570" spans="2:12" ht="14.4" x14ac:dyDescent="0.3">
      <c r="B570" s="39">
        <v>45802</v>
      </c>
      <c r="D570" s="36" t="s">
        <v>260</v>
      </c>
      <c r="E570" s="36" t="s">
        <v>257</v>
      </c>
      <c r="F570" s="36" t="s">
        <v>131</v>
      </c>
      <c r="L570" s="42">
        <v>-38</v>
      </c>
    </row>
    <row r="571" spans="2:12" ht="14.4" x14ac:dyDescent="0.3">
      <c r="B571" s="39">
        <v>45802</v>
      </c>
      <c r="D571" s="36" t="s">
        <v>57</v>
      </c>
      <c r="E571" s="36" t="s">
        <v>346</v>
      </c>
      <c r="F571" s="36" t="s">
        <v>193</v>
      </c>
      <c r="L571" s="42">
        <v>-49.73</v>
      </c>
    </row>
    <row r="572" spans="2:12" ht="14.4" x14ac:dyDescent="0.3">
      <c r="B572" s="39">
        <v>45802</v>
      </c>
      <c r="C572" s="39" t="s">
        <v>550</v>
      </c>
      <c r="D572" s="36" t="s">
        <v>219</v>
      </c>
      <c r="E572" s="36" t="s">
        <v>264</v>
      </c>
      <c r="F572" s="36" t="s">
        <v>121</v>
      </c>
      <c r="L572" s="42">
        <v>-50</v>
      </c>
    </row>
    <row r="573" spans="2:12" ht="14.4" x14ac:dyDescent="0.3">
      <c r="B573" s="39">
        <v>45802</v>
      </c>
      <c r="C573" s="39" t="s">
        <v>550</v>
      </c>
      <c r="D573" s="36" t="s">
        <v>219</v>
      </c>
      <c r="E573" s="36" t="s">
        <v>300</v>
      </c>
      <c r="F573" s="36" t="s">
        <v>347</v>
      </c>
      <c r="L573" s="42">
        <v>-44.99</v>
      </c>
    </row>
    <row r="574" spans="2:12" ht="14.4" x14ac:dyDescent="0.3">
      <c r="B574" s="39">
        <v>45803</v>
      </c>
      <c r="D574" s="36" t="s">
        <v>57</v>
      </c>
      <c r="E574" s="36" t="s">
        <v>126</v>
      </c>
      <c r="F574" s="36" t="s">
        <v>70</v>
      </c>
      <c r="L574" s="42">
        <v>-2.42</v>
      </c>
    </row>
    <row r="575" spans="2:12" ht="14.4" x14ac:dyDescent="0.3">
      <c r="B575" s="39">
        <v>45803</v>
      </c>
      <c r="D575" s="36" t="s">
        <v>57</v>
      </c>
      <c r="E575" s="36" t="s">
        <v>312</v>
      </c>
      <c r="F575" s="36" t="s">
        <v>115</v>
      </c>
      <c r="L575" s="42">
        <v>-20</v>
      </c>
    </row>
    <row r="576" spans="2:12" ht="14.4" x14ac:dyDescent="0.3">
      <c r="B576" s="39">
        <v>45803</v>
      </c>
      <c r="C576" s="39" t="s">
        <v>550</v>
      </c>
      <c r="D576" s="36" t="s">
        <v>219</v>
      </c>
      <c r="E576" s="36" t="s">
        <v>348</v>
      </c>
      <c r="F576" s="36" t="s">
        <v>349</v>
      </c>
      <c r="L576" s="42">
        <v>-25</v>
      </c>
    </row>
    <row r="577" spans="2:12" ht="14.4" x14ac:dyDescent="0.3">
      <c r="B577" s="39">
        <v>45804</v>
      </c>
      <c r="C577" s="39" t="s">
        <v>550</v>
      </c>
      <c r="D577" s="36" t="s">
        <v>219</v>
      </c>
      <c r="E577" s="36" t="s">
        <v>264</v>
      </c>
      <c r="F577" s="36" t="s">
        <v>121</v>
      </c>
      <c r="L577" s="42">
        <v>-500</v>
      </c>
    </row>
    <row r="578" spans="2:12" ht="14.4" x14ac:dyDescent="0.3">
      <c r="B578" s="39">
        <v>45804</v>
      </c>
      <c r="C578" s="39" t="s">
        <v>550</v>
      </c>
      <c r="D578" s="36" t="s">
        <v>219</v>
      </c>
      <c r="E578" s="36" t="s">
        <v>264</v>
      </c>
      <c r="F578" s="36" t="s">
        <v>121</v>
      </c>
      <c r="L578" s="42">
        <v>-100</v>
      </c>
    </row>
    <row r="579" spans="2:12" ht="14.4" x14ac:dyDescent="0.3">
      <c r="B579" s="39">
        <v>45804</v>
      </c>
      <c r="C579" s="39" t="s">
        <v>550</v>
      </c>
      <c r="D579" s="36" t="s">
        <v>219</v>
      </c>
      <c r="E579" s="36" t="s">
        <v>264</v>
      </c>
      <c r="F579" s="36" t="s">
        <v>121</v>
      </c>
      <c r="L579" s="42">
        <v>-50</v>
      </c>
    </row>
    <row r="580" spans="2:12" ht="14.4" x14ac:dyDescent="0.3">
      <c r="B580" s="39">
        <v>45804</v>
      </c>
      <c r="C580" s="39" t="s">
        <v>550</v>
      </c>
      <c r="D580" s="36" t="s">
        <v>219</v>
      </c>
      <c r="E580" s="36" t="s">
        <v>300</v>
      </c>
      <c r="F580" s="36" t="s">
        <v>347</v>
      </c>
      <c r="L580" s="42">
        <v>-39.700000000000003</v>
      </c>
    </row>
    <row r="581" spans="2:12" ht="14.4" x14ac:dyDescent="0.3">
      <c r="B581" s="39">
        <v>45805</v>
      </c>
      <c r="C581" s="39" t="s">
        <v>550</v>
      </c>
      <c r="D581" s="36" t="s">
        <v>219</v>
      </c>
      <c r="E581" s="36" t="s">
        <v>205</v>
      </c>
      <c r="F581" s="36" t="s">
        <v>70</v>
      </c>
      <c r="L581" s="42">
        <v>-19.850000000000001</v>
      </c>
    </row>
    <row r="582" spans="2:12" ht="14.4" x14ac:dyDescent="0.3">
      <c r="B582" s="39">
        <v>45805</v>
      </c>
      <c r="C582" s="39" t="s">
        <v>550</v>
      </c>
      <c r="D582" s="36" t="s">
        <v>219</v>
      </c>
      <c r="E582" s="36" t="s">
        <v>264</v>
      </c>
      <c r="F582" s="36" t="s">
        <v>121</v>
      </c>
      <c r="L582" s="42">
        <v>-100</v>
      </c>
    </row>
    <row r="583" spans="2:12" ht="14.4" x14ac:dyDescent="0.3">
      <c r="B583" s="39">
        <v>45805</v>
      </c>
      <c r="C583" s="39" t="s">
        <v>550</v>
      </c>
      <c r="D583" s="36" t="s">
        <v>219</v>
      </c>
      <c r="E583" s="36" t="s">
        <v>264</v>
      </c>
      <c r="F583" s="36" t="s">
        <v>121</v>
      </c>
      <c r="L583" s="42">
        <v>-100</v>
      </c>
    </row>
    <row r="584" spans="2:12" ht="14.4" x14ac:dyDescent="0.3">
      <c r="B584" s="39">
        <v>45805</v>
      </c>
      <c r="C584" s="39" t="s">
        <v>550</v>
      </c>
      <c r="D584" s="36" t="s">
        <v>219</v>
      </c>
      <c r="E584" s="36" t="s">
        <v>264</v>
      </c>
      <c r="F584" s="36" t="s">
        <v>121</v>
      </c>
      <c r="L584" s="42">
        <v>-100</v>
      </c>
    </row>
    <row r="585" spans="2:12" ht="14.4" x14ac:dyDescent="0.3">
      <c r="B585" s="39">
        <v>45805</v>
      </c>
      <c r="C585" s="39" t="s">
        <v>550</v>
      </c>
      <c r="D585" s="36" t="s">
        <v>219</v>
      </c>
      <c r="E585" s="36" t="s">
        <v>264</v>
      </c>
      <c r="F585" s="36" t="s">
        <v>121</v>
      </c>
      <c r="L585" s="42">
        <v>-100</v>
      </c>
    </row>
    <row r="586" spans="2:12" ht="14.4" x14ac:dyDescent="0.3">
      <c r="B586" s="39">
        <v>45805</v>
      </c>
      <c r="C586" s="39" t="s">
        <v>550</v>
      </c>
      <c r="D586" s="36" t="s">
        <v>219</v>
      </c>
      <c r="E586" s="36" t="s">
        <v>264</v>
      </c>
      <c r="F586" s="36" t="s">
        <v>121</v>
      </c>
      <c r="L586" s="42">
        <v>-100</v>
      </c>
    </row>
    <row r="587" spans="2:12" ht="14.4" x14ac:dyDescent="0.3">
      <c r="B587" s="39">
        <v>45805</v>
      </c>
      <c r="C587" s="39" t="s">
        <v>550</v>
      </c>
      <c r="D587" s="36" t="s">
        <v>219</v>
      </c>
      <c r="E587" s="36" t="s">
        <v>264</v>
      </c>
      <c r="F587" s="36" t="s">
        <v>121</v>
      </c>
      <c r="L587" s="42">
        <v>-100</v>
      </c>
    </row>
    <row r="588" spans="2:12" ht="14.4" x14ac:dyDescent="0.3">
      <c r="B588" s="39">
        <v>45806</v>
      </c>
      <c r="C588" s="39" t="s">
        <v>550</v>
      </c>
      <c r="D588" s="36" t="s">
        <v>219</v>
      </c>
      <c r="E588" s="36" t="s">
        <v>350</v>
      </c>
      <c r="F588" s="36" t="s">
        <v>120</v>
      </c>
      <c r="L588" s="42">
        <v>-27</v>
      </c>
    </row>
    <row r="589" spans="2:12" ht="14.4" x14ac:dyDescent="0.3">
      <c r="B589" s="39">
        <v>45806</v>
      </c>
      <c r="C589" s="39" t="s">
        <v>550</v>
      </c>
      <c r="D589" s="36" t="s">
        <v>219</v>
      </c>
      <c r="E589" s="36" t="s">
        <v>264</v>
      </c>
      <c r="F589" s="36" t="s">
        <v>121</v>
      </c>
      <c r="L589" s="42">
        <v>-100</v>
      </c>
    </row>
    <row r="590" spans="2:12" ht="14.4" x14ac:dyDescent="0.3">
      <c r="B590" s="39">
        <v>45806</v>
      </c>
      <c r="C590" s="39" t="s">
        <v>550</v>
      </c>
      <c r="D590" s="36" t="s">
        <v>219</v>
      </c>
      <c r="E590" s="36" t="s">
        <v>264</v>
      </c>
      <c r="F590" s="36" t="s">
        <v>121</v>
      </c>
      <c r="L590" s="42">
        <v>-100</v>
      </c>
    </row>
    <row r="591" spans="2:12" ht="14.4" x14ac:dyDescent="0.3">
      <c r="B591" s="39">
        <v>45806</v>
      </c>
      <c r="C591" s="39" t="s">
        <v>550</v>
      </c>
      <c r="D591" s="36" t="s">
        <v>219</v>
      </c>
      <c r="E591" s="36" t="s">
        <v>264</v>
      </c>
      <c r="F591" s="36" t="s">
        <v>121</v>
      </c>
      <c r="L591" s="42">
        <v>-100</v>
      </c>
    </row>
    <row r="592" spans="2:12" ht="14.4" x14ac:dyDescent="0.3">
      <c r="B592" s="39">
        <v>45806</v>
      </c>
      <c r="C592" s="39" t="s">
        <v>550</v>
      </c>
      <c r="D592" s="36" t="s">
        <v>219</v>
      </c>
      <c r="E592" s="36" t="s">
        <v>264</v>
      </c>
      <c r="F592" s="36" t="s">
        <v>121</v>
      </c>
      <c r="L592" s="42">
        <v>-100</v>
      </c>
    </row>
    <row r="593" spans="2:12" ht="14.4" x14ac:dyDescent="0.3">
      <c r="B593" s="39">
        <v>45806</v>
      </c>
      <c r="C593" s="39" t="s">
        <v>550</v>
      </c>
      <c r="D593" s="36" t="s">
        <v>219</v>
      </c>
      <c r="E593" s="36" t="s">
        <v>264</v>
      </c>
      <c r="F593" s="36" t="s">
        <v>121</v>
      </c>
      <c r="L593" s="42">
        <v>-100</v>
      </c>
    </row>
    <row r="594" spans="2:12" ht="14.4" x14ac:dyDescent="0.3">
      <c r="B594" s="39">
        <v>45806</v>
      </c>
      <c r="C594" s="39" t="s">
        <v>550</v>
      </c>
      <c r="D594" s="36" t="s">
        <v>219</v>
      </c>
      <c r="E594" s="36" t="s">
        <v>264</v>
      </c>
      <c r="F594" s="36" t="s">
        <v>121</v>
      </c>
      <c r="L594" s="42">
        <v>-100</v>
      </c>
    </row>
    <row r="595" spans="2:12" ht="14.4" x14ac:dyDescent="0.3">
      <c r="B595" s="39">
        <v>45806</v>
      </c>
      <c r="C595" s="39" t="s">
        <v>550</v>
      </c>
      <c r="D595" s="36" t="s">
        <v>219</v>
      </c>
      <c r="E595" s="36" t="s">
        <v>264</v>
      </c>
      <c r="F595" s="36" t="s">
        <v>121</v>
      </c>
      <c r="L595" s="42">
        <v>-100</v>
      </c>
    </row>
    <row r="596" spans="2:12" ht="14.4" x14ac:dyDescent="0.3">
      <c r="B596" s="39">
        <v>45806</v>
      </c>
      <c r="C596" s="39" t="s">
        <v>550</v>
      </c>
      <c r="D596" s="36" t="s">
        <v>219</v>
      </c>
      <c r="E596" s="36" t="s">
        <v>264</v>
      </c>
      <c r="F596" s="36" t="s">
        <v>121</v>
      </c>
      <c r="L596" s="42">
        <v>-100</v>
      </c>
    </row>
    <row r="597" spans="2:12" ht="14.4" x14ac:dyDescent="0.3">
      <c r="B597" s="39">
        <v>45806</v>
      </c>
      <c r="C597" s="39" t="s">
        <v>550</v>
      </c>
      <c r="D597" s="36" t="s">
        <v>219</v>
      </c>
      <c r="E597" s="36" t="s">
        <v>264</v>
      </c>
      <c r="F597" s="36" t="s">
        <v>121</v>
      </c>
      <c r="L597" s="42">
        <v>-100</v>
      </c>
    </row>
    <row r="598" spans="2:12" ht="14.4" x14ac:dyDescent="0.3">
      <c r="B598" s="39">
        <v>45806</v>
      </c>
      <c r="C598" s="39" t="s">
        <v>550</v>
      </c>
      <c r="D598" s="36" t="s">
        <v>219</v>
      </c>
      <c r="E598" s="36" t="s">
        <v>351</v>
      </c>
      <c r="F598" s="36" t="s">
        <v>352</v>
      </c>
      <c r="L598" s="42">
        <v>-44.61</v>
      </c>
    </row>
    <row r="599" spans="2:12" ht="14.4" x14ac:dyDescent="0.3">
      <c r="B599" s="39">
        <v>45807</v>
      </c>
      <c r="D599" s="36" t="s">
        <v>194</v>
      </c>
      <c r="E599" s="36" t="s">
        <v>535</v>
      </c>
      <c r="F599" s="36" t="s">
        <v>524</v>
      </c>
      <c r="H599" s="42">
        <v>1822</v>
      </c>
    </row>
    <row r="600" spans="2:12" ht="14.4" x14ac:dyDescent="0.3">
      <c r="B600" s="39">
        <v>45808</v>
      </c>
      <c r="C600" s="39" t="s">
        <v>551</v>
      </c>
      <c r="D600" s="36" t="s">
        <v>173</v>
      </c>
      <c r="E600" s="36" t="s">
        <v>528</v>
      </c>
      <c r="F600" s="36" t="s">
        <v>524</v>
      </c>
      <c r="K600" s="42">
        <v>3157</v>
      </c>
    </row>
    <row r="601" spans="2:12" ht="14.4" x14ac:dyDescent="0.3">
      <c r="B601" s="39">
        <v>45808</v>
      </c>
      <c r="C601" s="39" t="s">
        <v>550</v>
      </c>
      <c r="D601" s="36" t="s">
        <v>219</v>
      </c>
      <c r="E601" s="36" t="s">
        <v>264</v>
      </c>
      <c r="F601" s="36" t="s">
        <v>121</v>
      </c>
      <c r="L601" s="42">
        <v>-10</v>
      </c>
    </row>
    <row r="602" spans="2:12" ht="14.4" x14ac:dyDescent="0.3">
      <c r="B602" s="39">
        <v>45808</v>
      </c>
      <c r="D602" s="36" t="s">
        <v>57</v>
      </c>
      <c r="E602" s="36" t="s">
        <v>312</v>
      </c>
      <c r="F602" s="36" t="s">
        <v>115</v>
      </c>
      <c r="L602" s="42">
        <v>-50</v>
      </c>
    </row>
    <row r="603" spans="2:12" ht="14.4" x14ac:dyDescent="0.3">
      <c r="B603" s="39">
        <v>45808</v>
      </c>
      <c r="C603" s="39" t="s">
        <v>551</v>
      </c>
      <c r="D603" s="36" t="s">
        <v>219</v>
      </c>
      <c r="E603" s="36" t="s">
        <v>535</v>
      </c>
      <c r="F603" s="36" t="s">
        <v>524</v>
      </c>
      <c r="K603" s="42">
        <v>44828</v>
      </c>
    </row>
    <row r="604" spans="2:12" ht="14.4" x14ac:dyDescent="0.3">
      <c r="B604" s="39">
        <v>45808</v>
      </c>
      <c r="D604" s="36" t="s">
        <v>258</v>
      </c>
      <c r="E604" s="36" t="s">
        <v>168</v>
      </c>
      <c r="F604" s="36" t="s">
        <v>524</v>
      </c>
      <c r="K604" s="42">
        <v>428</v>
      </c>
    </row>
    <row r="605" spans="2:12" ht="14.4" x14ac:dyDescent="0.3">
      <c r="B605" s="39">
        <v>45810</v>
      </c>
      <c r="D605" s="36" t="s">
        <v>57</v>
      </c>
      <c r="E605" s="36" t="s">
        <v>126</v>
      </c>
      <c r="F605" s="36" t="s">
        <v>70</v>
      </c>
      <c r="L605" s="42">
        <v>-2.46</v>
      </c>
    </row>
    <row r="606" spans="2:12" ht="14.4" x14ac:dyDescent="0.3">
      <c r="B606" s="39">
        <v>45811</v>
      </c>
      <c r="D606" s="36" t="s">
        <v>57</v>
      </c>
      <c r="E606" s="36" t="s">
        <v>317</v>
      </c>
      <c r="F606" s="36" t="s">
        <v>70</v>
      </c>
      <c r="L606" s="42">
        <v>-12.7</v>
      </c>
    </row>
    <row r="607" spans="2:12" ht="14.4" x14ac:dyDescent="0.3">
      <c r="B607" s="39">
        <v>45812</v>
      </c>
      <c r="D607" s="36" t="s">
        <v>258</v>
      </c>
      <c r="E607" s="36" t="s">
        <v>353</v>
      </c>
      <c r="F607" s="36" t="s">
        <v>131</v>
      </c>
      <c r="L607" s="42">
        <v>-38</v>
      </c>
    </row>
    <row r="608" spans="2:12" ht="14.4" x14ac:dyDescent="0.3">
      <c r="B608" s="39">
        <v>45813</v>
      </c>
      <c r="D608" s="36" t="s">
        <v>57</v>
      </c>
      <c r="E608" s="36" t="s">
        <v>354</v>
      </c>
      <c r="F608" s="36" t="s">
        <v>282</v>
      </c>
      <c r="L608" s="42">
        <v>-5.54</v>
      </c>
    </row>
    <row r="609" spans="2:12" ht="14.4" x14ac:dyDescent="0.3">
      <c r="B609" s="39">
        <v>45814</v>
      </c>
      <c r="D609" s="36" t="s">
        <v>355</v>
      </c>
      <c r="E609" s="36" t="s">
        <v>787</v>
      </c>
      <c r="F609" s="36" t="s">
        <v>137</v>
      </c>
      <c r="L609" s="42">
        <v>-60</v>
      </c>
    </row>
    <row r="610" spans="2:12" ht="14.4" x14ac:dyDescent="0.3">
      <c r="B610" s="39">
        <v>45814</v>
      </c>
      <c r="D610" s="36" t="s">
        <v>355</v>
      </c>
      <c r="E610" s="36" t="s">
        <v>786</v>
      </c>
      <c r="F610" s="36" t="s">
        <v>137</v>
      </c>
      <c r="L610" s="42">
        <v>-60</v>
      </c>
    </row>
    <row r="611" spans="2:12" ht="14.4" x14ac:dyDescent="0.3">
      <c r="B611" s="39">
        <v>45814</v>
      </c>
      <c r="D611" s="36" t="s">
        <v>356</v>
      </c>
      <c r="E611" s="36" t="s">
        <v>353</v>
      </c>
      <c r="F611" s="36" t="s">
        <v>131</v>
      </c>
      <c r="L611" s="42">
        <v>-38</v>
      </c>
    </row>
    <row r="612" spans="2:12" ht="14.4" x14ac:dyDescent="0.3">
      <c r="B612" s="39">
        <v>45814</v>
      </c>
      <c r="D612" s="36" t="s">
        <v>57</v>
      </c>
      <c r="E612" s="36" t="s">
        <v>212</v>
      </c>
      <c r="F612" s="36" t="s">
        <v>70</v>
      </c>
      <c r="L612" s="42">
        <v>-13.83</v>
      </c>
    </row>
    <row r="613" spans="2:12" ht="14.4" x14ac:dyDescent="0.3">
      <c r="B613" s="39">
        <v>45815</v>
      </c>
      <c r="D613" s="36" t="s">
        <v>355</v>
      </c>
      <c r="E613" s="36" t="s">
        <v>357</v>
      </c>
      <c r="F613" s="36" t="s">
        <v>137</v>
      </c>
      <c r="L613" s="42">
        <v>-60</v>
      </c>
    </row>
    <row r="614" spans="2:12" ht="14.4" x14ac:dyDescent="0.3">
      <c r="B614" s="39">
        <v>45815</v>
      </c>
      <c r="D614" s="36" t="s">
        <v>355</v>
      </c>
      <c r="E614" s="36" t="s">
        <v>358</v>
      </c>
      <c r="F614" s="36" t="s">
        <v>137</v>
      </c>
      <c r="L614" s="42">
        <v>-60</v>
      </c>
    </row>
    <row r="615" spans="2:12" ht="14.4" x14ac:dyDescent="0.3">
      <c r="B615" s="39">
        <v>45815</v>
      </c>
      <c r="D615" s="36" t="s">
        <v>355</v>
      </c>
      <c r="E615" s="36" t="s">
        <v>359</v>
      </c>
      <c r="F615" s="36" t="s">
        <v>137</v>
      </c>
      <c r="L615" s="42">
        <v>-60</v>
      </c>
    </row>
    <row r="616" spans="2:12" ht="14.4" x14ac:dyDescent="0.3">
      <c r="B616" s="39">
        <v>45815</v>
      </c>
      <c r="D616" s="36" t="s">
        <v>355</v>
      </c>
      <c r="E616" s="36" t="s">
        <v>360</v>
      </c>
      <c r="F616" s="36" t="s">
        <v>137</v>
      </c>
      <c r="L616" s="42">
        <v>-60</v>
      </c>
    </row>
    <row r="617" spans="2:12" ht="14.4" x14ac:dyDescent="0.3">
      <c r="B617" s="39">
        <v>45815</v>
      </c>
      <c r="D617" s="36" t="s">
        <v>355</v>
      </c>
      <c r="E617" s="36" t="s">
        <v>361</v>
      </c>
      <c r="F617" s="36" t="s">
        <v>137</v>
      </c>
      <c r="L617" s="42">
        <v>-60</v>
      </c>
    </row>
    <row r="618" spans="2:12" ht="14.4" x14ac:dyDescent="0.3">
      <c r="B618" s="39">
        <v>45815</v>
      </c>
      <c r="D618" s="36" t="s">
        <v>355</v>
      </c>
      <c r="E618" s="36" t="s">
        <v>362</v>
      </c>
      <c r="F618" s="36" t="s">
        <v>137</v>
      </c>
      <c r="L618" s="42">
        <v>-60</v>
      </c>
    </row>
    <row r="619" spans="2:12" ht="14.4" x14ac:dyDescent="0.3">
      <c r="B619" s="39">
        <v>45815</v>
      </c>
      <c r="D619" s="36" t="s">
        <v>355</v>
      </c>
      <c r="E619" s="36" t="s">
        <v>363</v>
      </c>
      <c r="F619" s="36" t="s">
        <v>137</v>
      </c>
      <c r="L619" s="42">
        <v>-60</v>
      </c>
    </row>
    <row r="620" spans="2:12" ht="14.4" x14ac:dyDescent="0.3">
      <c r="B620" s="39">
        <v>45815</v>
      </c>
      <c r="D620" s="36" t="s">
        <v>355</v>
      </c>
      <c r="E620" s="36" t="s">
        <v>364</v>
      </c>
      <c r="F620" s="36" t="s">
        <v>137</v>
      </c>
      <c r="L620" s="42">
        <v>-60</v>
      </c>
    </row>
    <row r="621" spans="2:12" ht="14.4" x14ac:dyDescent="0.3">
      <c r="B621" s="39">
        <v>45815</v>
      </c>
      <c r="D621" s="36" t="s">
        <v>355</v>
      </c>
      <c r="E621" s="36" t="s">
        <v>365</v>
      </c>
      <c r="F621" s="36" t="s">
        <v>137</v>
      </c>
      <c r="L621" s="42">
        <v>-60</v>
      </c>
    </row>
    <row r="622" spans="2:12" ht="14.4" x14ac:dyDescent="0.3">
      <c r="B622" s="39">
        <v>45815</v>
      </c>
      <c r="D622" s="36" t="s">
        <v>355</v>
      </c>
      <c r="E622" s="36" t="s">
        <v>366</v>
      </c>
      <c r="F622" s="36" t="s">
        <v>137</v>
      </c>
      <c r="L622" s="42">
        <v>-60</v>
      </c>
    </row>
    <row r="623" spans="2:12" ht="14.4" x14ac:dyDescent="0.3">
      <c r="B623" s="39">
        <v>45815</v>
      </c>
      <c r="D623" s="36" t="s">
        <v>355</v>
      </c>
      <c r="E623" s="36" t="s">
        <v>367</v>
      </c>
      <c r="F623" s="36" t="s">
        <v>137</v>
      </c>
      <c r="L623" s="42">
        <v>-60</v>
      </c>
    </row>
    <row r="624" spans="2:12" ht="14.4" x14ac:dyDescent="0.3">
      <c r="B624" s="39">
        <v>45815</v>
      </c>
      <c r="D624" s="36" t="s">
        <v>355</v>
      </c>
      <c r="E624" s="36" t="s">
        <v>368</v>
      </c>
      <c r="F624" s="36" t="s">
        <v>137</v>
      </c>
      <c r="L624" s="42">
        <v>-60</v>
      </c>
    </row>
    <row r="625" spans="2:12" ht="14.4" x14ac:dyDescent="0.3">
      <c r="B625" s="39">
        <v>45815</v>
      </c>
      <c r="C625" s="39" t="s">
        <v>550</v>
      </c>
      <c r="D625" s="36" t="s">
        <v>219</v>
      </c>
      <c r="E625" s="36" t="s">
        <v>353</v>
      </c>
      <c r="F625" s="36" t="s">
        <v>131</v>
      </c>
      <c r="L625" s="42">
        <v>-38</v>
      </c>
    </row>
    <row r="626" spans="2:12" ht="14.4" x14ac:dyDescent="0.3">
      <c r="B626" s="39">
        <v>45815</v>
      </c>
      <c r="C626" s="39" t="s">
        <v>550</v>
      </c>
      <c r="D626" s="36" t="s">
        <v>219</v>
      </c>
      <c r="E626" s="36" t="s">
        <v>369</v>
      </c>
      <c r="F626" s="36" t="s">
        <v>121</v>
      </c>
      <c r="L626" s="42">
        <v>-444</v>
      </c>
    </row>
    <row r="627" spans="2:12" ht="14.4" x14ac:dyDescent="0.3">
      <c r="B627" s="39">
        <v>45816</v>
      </c>
      <c r="D627" s="36" t="s">
        <v>355</v>
      </c>
      <c r="E627" s="36" t="s">
        <v>370</v>
      </c>
      <c r="F627" s="36" t="s">
        <v>137</v>
      </c>
      <c r="L627" s="42">
        <v>-60</v>
      </c>
    </row>
    <row r="628" spans="2:12" ht="14.4" x14ac:dyDescent="0.3">
      <c r="B628" s="39">
        <v>45816</v>
      </c>
      <c r="D628" s="36" t="s">
        <v>355</v>
      </c>
      <c r="E628" s="36" t="s">
        <v>371</v>
      </c>
      <c r="F628" s="36" t="s">
        <v>137</v>
      </c>
      <c r="L628" s="42">
        <v>-60</v>
      </c>
    </row>
    <row r="629" spans="2:12" ht="14.4" x14ac:dyDescent="0.3">
      <c r="B629" s="39">
        <v>45816</v>
      </c>
      <c r="D629" s="36" t="s">
        <v>355</v>
      </c>
      <c r="E629" s="36" t="s">
        <v>372</v>
      </c>
      <c r="F629" s="36" t="s">
        <v>137</v>
      </c>
      <c r="L629" s="42">
        <v>-60</v>
      </c>
    </row>
    <row r="630" spans="2:12" ht="14.4" x14ac:dyDescent="0.3">
      <c r="B630" s="39">
        <v>45816</v>
      </c>
      <c r="D630" s="36" t="s">
        <v>355</v>
      </c>
      <c r="E630" s="36" t="s">
        <v>373</v>
      </c>
      <c r="F630" s="36" t="s">
        <v>137</v>
      </c>
      <c r="L630" s="42">
        <v>-60</v>
      </c>
    </row>
    <row r="631" spans="2:12" ht="14.4" x14ac:dyDescent="0.3">
      <c r="B631" s="39">
        <v>45816</v>
      </c>
      <c r="D631" s="36" t="s">
        <v>355</v>
      </c>
      <c r="E631" s="36" t="s">
        <v>374</v>
      </c>
      <c r="F631" s="36" t="s">
        <v>137</v>
      </c>
      <c r="L631" s="42">
        <v>-60</v>
      </c>
    </row>
    <row r="632" spans="2:12" ht="14.4" x14ac:dyDescent="0.3">
      <c r="B632" s="39">
        <v>45816</v>
      </c>
      <c r="D632" s="36" t="s">
        <v>355</v>
      </c>
      <c r="E632" s="36" t="s">
        <v>375</v>
      </c>
      <c r="F632" s="36" t="s">
        <v>137</v>
      </c>
      <c r="L632" s="42">
        <v>-60</v>
      </c>
    </row>
    <row r="633" spans="2:12" ht="14.4" x14ac:dyDescent="0.3">
      <c r="B633" s="39">
        <v>45816</v>
      </c>
      <c r="D633" s="36" t="s">
        <v>355</v>
      </c>
      <c r="E633" s="36" t="s">
        <v>376</v>
      </c>
      <c r="F633" s="36" t="s">
        <v>137</v>
      </c>
      <c r="L633" s="42">
        <v>-60</v>
      </c>
    </row>
    <row r="634" spans="2:12" ht="14.4" x14ac:dyDescent="0.3">
      <c r="B634" s="39">
        <v>45816</v>
      </c>
      <c r="C634" s="39" t="s">
        <v>550</v>
      </c>
      <c r="D634" s="36" t="s">
        <v>219</v>
      </c>
      <c r="E634" s="36" t="s">
        <v>278</v>
      </c>
      <c r="F634" s="36" t="s">
        <v>70</v>
      </c>
      <c r="L634" s="42">
        <v>-14.62</v>
      </c>
    </row>
    <row r="635" spans="2:12" ht="14.4" x14ac:dyDescent="0.3">
      <c r="B635" s="39">
        <v>45817</v>
      </c>
      <c r="D635" s="36" t="s">
        <v>355</v>
      </c>
      <c r="E635" s="36" t="s">
        <v>377</v>
      </c>
      <c r="F635" s="36" t="s">
        <v>137</v>
      </c>
      <c r="L635" s="42">
        <v>-60</v>
      </c>
    </row>
    <row r="636" spans="2:12" ht="14.4" x14ac:dyDescent="0.3">
      <c r="B636" s="39">
        <v>45817</v>
      </c>
      <c r="D636" s="36" t="s">
        <v>355</v>
      </c>
      <c r="E636" s="36" t="s">
        <v>378</v>
      </c>
      <c r="F636" s="36" t="s">
        <v>137</v>
      </c>
      <c r="L636" s="42">
        <v>-60</v>
      </c>
    </row>
    <row r="637" spans="2:12" ht="14.4" x14ac:dyDescent="0.3">
      <c r="B637" s="39">
        <v>45817</v>
      </c>
      <c r="D637" s="36" t="s">
        <v>355</v>
      </c>
      <c r="E637" s="36" t="s">
        <v>379</v>
      </c>
      <c r="F637" s="36" t="s">
        <v>137</v>
      </c>
      <c r="L637" s="42">
        <v>-60</v>
      </c>
    </row>
    <row r="638" spans="2:12" ht="14.4" x14ac:dyDescent="0.3">
      <c r="B638" s="39">
        <v>45817</v>
      </c>
      <c r="D638" s="36" t="s">
        <v>355</v>
      </c>
      <c r="E638" s="36" t="s">
        <v>380</v>
      </c>
      <c r="F638" s="36" t="s">
        <v>137</v>
      </c>
      <c r="L638" s="42">
        <v>-60</v>
      </c>
    </row>
    <row r="639" spans="2:12" ht="14.4" x14ac:dyDescent="0.3">
      <c r="B639" s="39">
        <v>45817</v>
      </c>
      <c r="D639" s="36" t="s">
        <v>355</v>
      </c>
      <c r="E639" s="36" t="s">
        <v>381</v>
      </c>
      <c r="F639" s="36" t="s">
        <v>137</v>
      </c>
      <c r="L639" s="42">
        <v>-60</v>
      </c>
    </row>
    <row r="640" spans="2:12" ht="14.4" x14ac:dyDescent="0.3">
      <c r="B640" s="39">
        <v>45817</v>
      </c>
      <c r="D640" s="36" t="s">
        <v>57</v>
      </c>
      <c r="E640" s="36" t="s">
        <v>218</v>
      </c>
      <c r="F640" s="36" t="s">
        <v>70</v>
      </c>
      <c r="L640" s="42">
        <v>-60.84</v>
      </c>
    </row>
    <row r="641" spans="2:12" ht="14.4" x14ac:dyDescent="0.3">
      <c r="B641" s="39">
        <v>45818</v>
      </c>
      <c r="D641" s="36" t="s">
        <v>355</v>
      </c>
      <c r="E641" s="36" t="s">
        <v>384</v>
      </c>
      <c r="F641" s="36" t="s">
        <v>137</v>
      </c>
      <c r="L641" s="42">
        <v>-60</v>
      </c>
    </row>
    <row r="642" spans="2:12" ht="14.4" x14ac:dyDescent="0.3">
      <c r="B642" s="39">
        <v>45818</v>
      </c>
      <c r="D642" s="36" t="s">
        <v>355</v>
      </c>
      <c r="E642" s="36" t="s">
        <v>385</v>
      </c>
      <c r="F642" s="36" t="s">
        <v>137</v>
      </c>
      <c r="L642" s="42">
        <v>-60</v>
      </c>
    </row>
    <row r="643" spans="2:12" ht="14.4" x14ac:dyDescent="0.3">
      <c r="B643" s="39">
        <v>45818</v>
      </c>
      <c r="D643" s="36" t="s">
        <v>57</v>
      </c>
      <c r="E643" s="36" t="s">
        <v>382</v>
      </c>
      <c r="F643" s="36" t="s">
        <v>383</v>
      </c>
      <c r="L643" s="42">
        <v>-23.63</v>
      </c>
    </row>
    <row r="644" spans="2:12" ht="14.4" x14ac:dyDescent="0.3">
      <c r="B644" s="39">
        <v>45819</v>
      </c>
      <c r="D644" s="36" t="s">
        <v>355</v>
      </c>
      <c r="E644" s="36" t="s">
        <v>386</v>
      </c>
      <c r="F644" s="36" t="s">
        <v>137</v>
      </c>
      <c r="L644" s="42">
        <v>-60</v>
      </c>
    </row>
    <row r="645" spans="2:12" ht="14.4" x14ac:dyDescent="0.3">
      <c r="B645" s="39">
        <v>45819</v>
      </c>
      <c r="D645" s="36" t="s">
        <v>355</v>
      </c>
      <c r="E645" s="36" t="s">
        <v>387</v>
      </c>
      <c r="F645" s="36" t="s">
        <v>137</v>
      </c>
      <c r="L645" s="42">
        <v>-60</v>
      </c>
    </row>
    <row r="646" spans="2:12" ht="14.4" x14ac:dyDescent="0.3">
      <c r="B646" s="39">
        <v>45820</v>
      </c>
      <c r="D646" s="36" t="s">
        <v>355</v>
      </c>
      <c r="E646" s="36" t="s">
        <v>388</v>
      </c>
      <c r="F646" s="36" t="s">
        <v>137</v>
      </c>
      <c r="L646" s="42">
        <v>-60</v>
      </c>
    </row>
    <row r="647" spans="2:12" ht="14.4" x14ac:dyDescent="0.3">
      <c r="B647" s="39">
        <v>45820</v>
      </c>
      <c r="D647" s="36" t="s">
        <v>355</v>
      </c>
      <c r="E647" s="36" t="s">
        <v>389</v>
      </c>
      <c r="F647" s="36" t="s">
        <v>137</v>
      </c>
      <c r="L647" s="42">
        <v>-60</v>
      </c>
    </row>
    <row r="648" spans="2:12" ht="14.4" x14ac:dyDescent="0.3">
      <c r="B648" s="39">
        <v>45820</v>
      </c>
      <c r="D648" s="36" t="s">
        <v>355</v>
      </c>
      <c r="E648" s="36" t="s">
        <v>390</v>
      </c>
      <c r="F648" s="36" t="s">
        <v>137</v>
      </c>
      <c r="L648" s="42">
        <v>-60</v>
      </c>
    </row>
    <row r="649" spans="2:12" ht="14.4" x14ac:dyDescent="0.3">
      <c r="B649" s="39">
        <v>45821</v>
      </c>
      <c r="D649" s="36" t="s">
        <v>355</v>
      </c>
      <c r="E649" s="36" t="s">
        <v>391</v>
      </c>
      <c r="F649" s="36" t="s">
        <v>137</v>
      </c>
      <c r="L649" s="42">
        <v>-60</v>
      </c>
    </row>
    <row r="650" spans="2:12" ht="14.4" x14ac:dyDescent="0.3">
      <c r="B650" s="39">
        <v>45821</v>
      </c>
      <c r="D650" s="36" t="s">
        <v>57</v>
      </c>
      <c r="E650" s="36" t="s">
        <v>341</v>
      </c>
      <c r="F650" s="36" t="s">
        <v>200</v>
      </c>
      <c r="L650" s="42">
        <v>-59</v>
      </c>
    </row>
    <row r="651" spans="2:12" ht="14.4" x14ac:dyDescent="0.3">
      <c r="B651" s="39">
        <v>45822</v>
      </c>
      <c r="D651" s="36" t="s">
        <v>355</v>
      </c>
      <c r="E651" s="36" t="s">
        <v>392</v>
      </c>
      <c r="F651" s="36" t="s">
        <v>137</v>
      </c>
      <c r="L651" s="42">
        <v>-60</v>
      </c>
    </row>
    <row r="652" spans="2:12" ht="14.4" x14ac:dyDescent="0.3">
      <c r="B652" s="39">
        <v>45822</v>
      </c>
      <c r="D652" s="36" t="s">
        <v>355</v>
      </c>
      <c r="E652" s="36" t="s">
        <v>393</v>
      </c>
      <c r="F652" s="36" t="s">
        <v>137</v>
      </c>
      <c r="L652" s="42">
        <v>-60</v>
      </c>
    </row>
    <row r="653" spans="2:12" ht="14.4" x14ac:dyDescent="0.3">
      <c r="B653" s="39">
        <v>45822</v>
      </c>
      <c r="D653" s="36" t="s">
        <v>355</v>
      </c>
      <c r="E653" s="36" t="s">
        <v>394</v>
      </c>
      <c r="F653" s="36" t="s">
        <v>137</v>
      </c>
      <c r="L653" s="42">
        <v>-60</v>
      </c>
    </row>
    <row r="654" spans="2:12" ht="14.4" x14ac:dyDescent="0.3">
      <c r="B654" s="39">
        <v>45822</v>
      </c>
      <c r="D654" s="36" t="s">
        <v>355</v>
      </c>
      <c r="E654" s="36" t="s">
        <v>395</v>
      </c>
      <c r="F654" s="36" t="s">
        <v>137</v>
      </c>
      <c r="L654" s="42">
        <v>-60</v>
      </c>
    </row>
    <row r="655" spans="2:12" ht="14.4" x14ac:dyDescent="0.3">
      <c r="B655" s="39">
        <v>45822</v>
      </c>
      <c r="D655" s="36" t="s">
        <v>355</v>
      </c>
      <c r="E655" s="36" t="s">
        <v>396</v>
      </c>
      <c r="F655" s="36" t="s">
        <v>137</v>
      </c>
      <c r="L655" s="42">
        <v>-60</v>
      </c>
    </row>
    <row r="656" spans="2:12" ht="14.4" x14ac:dyDescent="0.3">
      <c r="B656" s="39">
        <v>45822</v>
      </c>
      <c r="D656" s="36" t="s">
        <v>355</v>
      </c>
      <c r="E656" s="36" t="s">
        <v>397</v>
      </c>
      <c r="F656" s="36" t="s">
        <v>137</v>
      </c>
      <c r="L656" s="42">
        <v>-60</v>
      </c>
    </row>
    <row r="657" spans="2:12" ht="14.4" x14ac:dyDescent="0.3">
      <c r="B657" s="39">
        <v>45822</v>
      </c>
      <c r="D657" s="36" t="s">
        <v>519</v>
      </c>
      <c r="E657" s="36" t="s">
        <v>220</v>
      </c>
      <c r="F657" s="36" t="s">
        <v>70</v>
      </c>
      <c r="L657" s="42">
        <v>-17.260000000000002</v>
      </c>
    </row>
    <row r="658" spans="2:12" ht="14.4" x14ac:dyDescent="0.3">
      <c r="B658" s="39">
        <v>45823</v>
      </c>
      <c r="D658" s="36" t="s">
        <v>355</v>
      </c>
      <c r="E658" s="36" t="s">
        <v>398</v>
      </c>
      <c r="F658" s="36" t="s">
        <v>137</v>
      </c>
      <c r="L658" s="42">
        <v>-60</v>
      </c>
    </row>
    <row r="659" spans="2:12" ht="14.4" x14ac:dyDescent="0.3">
      <c r="B659" s="39">
        <v>45823</v>
      </c>
      <c r="D659" s="36" t="s">
        <v>355</v>
      </c>
      <c r="E659" s="36" t="s">
        <v>399</v>
      </c>
      <c r="F659" s="36" t="s">
        <v>137</v>
      </c>
      <c r="L659" s="42">
        <v>-60</v>
      </c>
    </row>
    <row r="660" spans="2:12" ht="14.4" x14ac:dyDescent="0.3">
      <c r="B660" s="39">
        <v>45823</v>
      </c>
      <c r="D660" s="36" t="s">
        <v>355</v>
      </c>
      <c r="E660" s="36" t="s">
        <v>400</v>
      </c>
      <c r="F660" s="36" t="s">
        <v>137</v>
      </c>
      <c r="L660" s="42">
        <v>-60</v>
      </c>
    </row>
    <row r="661" spans="2:12" ht="14.4" x14ac:dyDescent="0.3">
      <c r="B661" s="39">
        <v>45824</v>
      </c>
      <c r="D661" s="36" t="s">
        <v>355</v>
      </c>
      <c r="E661" s="36" t="s">
        <v>401</v>
      </c>
      <c r="F661" s="36" t="s">
        <v>137</v>
      </c>
      <c r="L661" s="42">
        <v>-60</v>
      </c>
    </row>
    <row r="662" spans="2:12" ht="14.4" x14ac:dyDescent="0.3">
      <c r="B662" s="39">
        <v>45824</v>
      </c>
      <c r="D662" s="36" t="s">
        <v>355</v>
      </c>
      <c r="E662" s="36" t="s">
        <v>402</v>
      </c>
      <c r="F662" s="36" t="s">
        <v>137</v>
      </c>
      <c r="L662" s="42">
        <v>-60</v>
      </c>
    </row>
    <row r="663" spans="2:12" ht="14.4" x14ac:dyDescent="0.3">
      <c r="B663" s="39">
        <v>45824</v>
      </c>
      <c r="D663" s="36" t="s">
        <v>355</v>
      </c>
      <c r="E663" s="36" t="s">
        <v>403</v>
      </c>
      <c r="F663" s="36" t="s">
        <v>137</v>
      </c>
      <c r="L663" s="42">
        <v>-60</v>
      </c>
    </row>
    <row r="664" spans="2:12" ht="14.4" x14ac:dyDescent="0.3">
      <c r="B664" s="39">
        <v>45825</v>
      </c>
      <c r="D664" s="36" t="s">
        <v>355</v>
      </c>
      <c r="E664" s="36" t="s">
        <v>404</v>
      </c>
      <c r="F664" s="36" t="s">
        <v>137</v>
      </c>
      <c r="L664" s="42">
        <v>-60</v>
      </c>
    </row>
    <row r="665" spans="2:12" ht="14.4" x14ac:dyDescent="0.3">
      <c r="B665" s="39">
        <v>45825</v>
      </c>
      <c r="D665" s="36" t="s">
        <v>355</v>
      </c>
      <c r="E665" s="36" t="s">
        <v>405</v>
      </c>
      <c r="F665" s="36" t="s">
        <v>137</v>
      </c>
      <c r="L665" s="42">
        <v>-60</v>
      </c>
    </row>
    <row r="666" spans="2:12" ht="14.4" x14ac:dyDescent="0.3">
      <c r="B666" s="39">
        <v>45825</v>
      </c>
      <c r="D666" s="36" t="s">
        <v>355</v>
      </c>
      <c r="E666" s="36" t="s">
        <v>406</v>
      </c>
      <c r="F666" s="36" t="s">
        <v>137</v>
      </c>
      <c r="L666" s="42">
        <v>-60.24</v>
      </c>
    </row>
    <row r="667" spans="2:12" ht="14.4" x14ac:dyDescent="0.3">
      <c r="B667" s="39">
        <v>45825</v>
      </c>
      <c r="D667" s="36" t="s">
        <v>355</v>
      </c>
      <c r="E667" s="36" t="s">
        <v>447</v>
      </c>
      <c r="F667" s="36" t="s">
        <v>137</v>
      </c>
      <c r="L667" s="42">
        <v>-18.399999999999999</v>
      </c>
    </row>
    <row r="668" spans="2:12" ht="14.4" x14ac:dyDescent="0.3">
      <c r="B668" s="39">
        <v>45825</v>
      </c>
      <c r="D668" s="36" t="s">
        <v>310</v>
      </c>
      <c r="E668" s="36" t="s">
        <v>311</v>
      </c>
      <c r="F668" s="36" t="s">
        <v>110</v>
      </c>
      <c r="K668" s="42">
        <f>-L668</f>
        <v>-49997</v>
      </c>
      <c r="L668" s="42">
        <v>49997</v>
      </c>
    </row>
    <row r="669" spans="2:12" ht="14.4" x14ac:dyDescent="0.3">
      <c r="B669" s="39">
        <v>45826</v>
      </c>
      <c r="D669" s="36" t="s">
        <v>355</v>
      </c>
      <c r="E669" s="36" t="s">
        <v>407</v>
      </c>
      <c r="F669" s="36" t="s">
        <v>137</v>
      </c>
      <c r="L669" s="42">
        <v>-60</v>
      </c>
    </row>
    <row r="670" spans="2:12" ht="14.4" x14ac:dyDescent="0.3">
      <c r="B670" s="39">
        <v>45826</v>
      </c>
      <c r="D670" s="36" t="s">
        <v>355</v>
      </c>
      <c r="E670" s="36" t="s">
        <v>408</v>
      </c>
      <c r="F670" s="36" t="s">
        <v>137</v>
      </c>
      <c r="L670" s="42">
        <v>-60</v>
      </c>
    </row>
    <row r="671" spans="2:12" ht="14.4" x14ac:dyDescent="0.3">
      <c r="B671" s="39">
        <v>45826</v>
      </c>
      <c r="D671" s="36" t="s">
        <v>355</v>
      </c>
      <c r="E671" s="36" t="s">
        <v>409</v>
      </c>
      <c r="F671" s="36" t="s">
        <v>137</v>
      </c>
      <c r="L671" s="42">
        <v>-60</v>
      </c>
    </row>
    <row r="672" spans="2:12" ht="14.4" x14ac:dyDescent="0.3">
      <c r="B672" s="39">
        <v>45827</v>
      </c>
      <c r="D672" s="36" t="s">
        <v>355</v>
      </c>
      <c r="E672" s="36" t="s">
        <v>410</v>
      </c>
      <c r="F672" s="36" t="s">
        <v>137</v>
      </c>
      <c r="L672" s="42">
        <v>-60</v>
      </c>
    </row>
    <row r="673" spans="2:12" ht="14.4" x14ac:dyDescent="0.3">
      <c r="B673" s="39">
        <v>45827</v>
      </c>
      <c r="D673" s="36" t="s">
        <v>355</v>
      </c>
      <c r="E673" s="36" t="s">
        <v>411</v>
      </c>
      <c r="F673" s="36" t="s">
        <v>137</v>
      </c>
      <c r="L673" s="42">
        <v>-60</v>
      </c>
    </row>
    <row r="674" spans="2:12" ht="14.4" x14ac:dyDescent="0.3">
      <c r="B674" s="39">
        <v>45827</v>
      </c>
      <c r="D674" s="36" t="s">
        <v>355</v>
      </c>
      <c r="E674" s="36" t="s">
        <v>412</v>
      </c>
      <c r="F674" s="36" t="s">
        <v>137</v>
      </c>
      <c r="L674" s="42">
        <v>-60</v>
      </c>
    </row>
    <row r="675" spans="2:12" ht="14.4" x14ac:dyDescent="0.3">
      <c r="B675" s="39">
        <v>45827</v>
      </c>
      <c r="D675" s="36" t="s">
        <v>355</v>
      </c>
      <c r="E675" s="36" t="s">
        <v>413</v>
      </c>
      <c r="F675" s="36" t="s">
        <v>137</v>
      </c>
      <c r="L675" s="42">
        <v>-60</v>
      </c>
    </row>
    <row r="676" spans="2:12" ht="14.4" x14ac:dyDescent="0.3">
      <c r="B676" s="39">
        <v>45828</v>
      </c>
      <c r="D676" s="36" t="s">
        <v>355</v>
      </c>
      <c r="E676" s="36" t="s">
        <v>414</v>
      </c>
      <c r="F676" s="36" t="s">
        <v>137</v>
      </c>
      <c r="L676" s="42">
        <v>-60</v>
      </c>
    </row>
    <row r="677" spans="2:12" ht="14.4" x14ac:dyDescent="0.3">
      <c r="B677" s="39">
        <v>45828</v>
      </c>
      <c r="D677" s="36" t="s">
        <v>310</v>
      </c>
      <c r="E677" s="36" t="s">
        <v>311</v>
      </c>
      <c r="F677" s="36" t="s">
        <v>110</v>
      </c>
      <c r="K677" s="42">
        <f>-L677</f>
        <v>-11584.93</v>
      </c>
      <c r="L677" s="42">
        <v>11584.93</v>
      </c>
    </row>
    <row r="678" spans="2:12" ht="14.4" x14ac:dyDescent="0.3">
      <c r="B678" s="39">
        <v>45829</v>
      </c>
      <c r="D678" s="36" t="s">
        <v>355</v>
      </c>
      <c r="E678" s="36" t="s">
        <v>415</v>
      </c>
      <c r="F678" s="36" t="s">
        <v>137</v>
      </c>
      <c r="L678" s="42">
        <v>-60</v>
      </c>
    </row>
    <row r="679" spans="2:12" ht="14.4" x14ac:dyDescent="0.3">
      <c r="B679" s="39">
        <v>45829</v>
      </c>
      <c r="D679" s="36" t="s">
        <v>355</v>
      </c>
      <c r="E679" s="36" t="s">
        <v>416</v>
      </c>
      <c r="F679" s="36" t="s">
        <v>137</v>
      </c>
      <c r="L679" s="42">
        <v>-60</v>
      </c>
    </row>
    <row r="680" spans="2:12" ht="14.4" x14ac:dyDescent="0.3">
      <c r="B680" s="39">
        <v>45829</v>
      </c>
      <c r="D680" s="36" t="s">
        <v>355</v>
      </c>
      <c r="E680" s="36" t="s">
        <v>417</v>
      </c>
      <c r="F680" s="36" t="s">
        <v>137</v>
      </c>
      <c r="L680" s="42">
        <v>-60</v>
      </c>
    </row>
    <row r="681" spans="2:12" ht="14.4" x14ac:dyDescent="0.3">
      <c r="B681" s="39">
        <v>45829</v>
      </c>
      <c r="D681" s="36" t="s">
        <v>355</v>
      </c>
      <c r="E681" s="36" t="s">
        <v>418</v>
      </c>
      <c r="F681" s="36" t="s">
        <v>137</v>
      </c>
      <c r="L681" s="42">
        <v>-60</v>
      </c>
    </row>
    <row r="682" spans="2:12" ht="14.4" x14ac:dyDescent="0.3">
      <c r="B682" s="39">
        <v>45829</v>
      </c>
      <c r="D682" s="36" t="s">
        <v>355</v>
      </c>
      <c r="E682" s="36" t="s">
        <v>419</v>
      </c>
      <c r="F682" s="36" t="s">
        <v>137</v>
      </c>
      <c r="L682" s="42">
        <v>-60</v>
      </c>
    </row>
    <row r="683" spans="2:12" ht="14.4" x14ac:dyDescent="0.3">
      <c r="B683" s="39">
        <v>45829</v>
      </c>
      <c r="D683" s="36" t="s">
        <v>520</v>
      </c>
      <c r="E683" s="36" t="s">
        <v>521</v>
      </c>
      <c r="F683" s="36" t="s">
        <v>70</v>
      </c>
      <c r="L683" s="42">
        <v>-9.58</v>
      </c>
    </row>
    <row r="684" spans="2:12" ht="14.4" x14ac:dyDescent="0.3">
      <c r="B684" s="39">
        <v>45829</v>
      </c>
      <c r="D684" s="36" t="s">
        <v>355</v>
      </c>
      <c r="E684" s="36" t="s">
        <v>420</v>
      </c>
      <c r="F684" s="36" t="s">
        <v>137</v>
      </c>
      <c r="L684" s="42">
        <v>-60</v>
      </c>
    </row>
    <row r="685" spans="2:12" ht="14.4" x14ac:dyDescent="0.3">
      <c r="B685" s="39">
        <v>45829</v>
      </c>
      <c r="D685" s="36" t="s">
        <v>355</v>
      </c>
      <c r="E685" s="36" t="s">
        <v>421</v>
      </c>
      <c r="F685" s="36" t="s">
        <v>137</v>
      </c>
      <c r="L685" s="42">
        <v>-60</v>
      </c>
    </row>
    <row r="686" spans="2:12" ht="14.4" x14ac:dyDescent="0.3">
      <c r="B686" s="39">
        <v>45830</v>
      </c>
      <c r="D686" s="36" t="s">
        <v>355</v>
      </c>
      <c r="E686" s="36" t="s">
        <v>422</v>
      </c>
      <c r="F686" s="36" t="s">
        <v>137</v>
      </c>
      <c r="L686" s="42">
        <v>-60</v>
      </c>
    </row>
    <row r="687" spans="2:12" ht="14.4" x14ac:dyDescent="0.3">
      <c r="B687" s="39">
        <v>45830</v>
      </c>
      <c r="D687" s="36" t="s">
        <v>355</v>
      </c>
      <c r="E687" s="36" t="s">
        <v>423</v>
      </c>
      <c r="F687" s="36" t="s">
        <v>137</v>
      </c>
      <c r="L687" s="42">
        <v>-60</v>
      </c>
    </row>
    <row r="688" spans="2:12" ht="14.4" x14ac:dyDescent="0.3">
      <c r="B688" s="39">
        <v>45830</v>
      </c>
      <c r="D688" s="36" t="s">
        <v>355</v>
      </c>
      <c r="E688" s="36" t="s">
        <v>424</v>
      </c>
      <c r="F688" s="36" t="s">
        <v>137</v>
      </c>
      <c r="L688" s="42">
        <v>-60</v>
      </c>
    </row>
    <row r="689" spans="2:12" ht="14.4" x14ac:dyDescent="0.3">
      <c r="B689" s="39">
        <v>45831</v>
      </c>
      <c r="D689" s="36" t="s">
        <v>355</v>
      </c>
      <c r="E689" s="36" t="s">
        <v>425</v>
      </c>
      <c r="F689" s="36" t="s">
        <v>137</v>
      </c>
      <c r="L689" s="42">
        <v>-60</v>
      </c>
    </row>
    <row r="690" spans="2:12" ht="14.4" x14ac:dyDescent="0.3">
      <c r="B690" s="39">
        <v>45831</v>
      </c>
      <c r="D690" s="36" t="s">
        <v>355</v>
      </c>
      <c r="E690" s="36" t="s">
        <v>426</v>
      </c>
      <c r="F690" s="36" t="s">
        <v>137</v>
      </c>
      <c r="L690" s="42">
        <v>-60</v>
      </c>
    </row>
    <row r="691" spans="2:12" ht="14.4" x14ac:dyDescent="0.3">
      <c r="B691" s="39">
        <v>45831</v>
      </c>
      <c r="D691" s="36" t="s">
        <v>355</v>
      </c>
      <c r="E691" s="36" t="s">
        <v>427</v>
      </c>
      <c r="F691" s="36" t="s">
        <v>137</v>
      </c>
      <c r="L691" s="42">
        <v>-60</v>
      </c>
    </row>
    <row r="692" spans="2:12" ht="14.4" x14ac:dyDescent="0.3">
      <c r="B692" s="39">
        <v>45831</v>
      </c>
      <c r="D692" s="36" t="s">
        <v>355</v>
      </c>
      <c r="E692" s="36" t="s">
        <v>428</v>
      </c>
      <c r="F692" s="36" t="s">
        <v>137</v>
      </c>
      <c r="L692" s="42">
        <v>-60</v>
      </c>
    </row>
    <row r="693" spans="2:12" ht="14.4" x14ac:dyDescent="0.3">
      <c r="B693" s="39">
        <v>45831</v>
      </c>
      <c r="D693" s="36" t="s">
        <v>355</v>
      </c>
      <c r="E693" s="36" t="s">
        <v>429</v>
      </c>
      <c r="F693" s="36" t="s">
        <v>137</v>
      </c>
      <c r="L693" s="42">
        <v>-60</v>
      </c>
    </row>
    <row r="694" spans="2:12" ht="14.4" x14ac:dyDescent="0.3">
      <c r="B694" s="39">
        <v>45832</v>
      </c>
      <c r="D694" s="36" t="s">
        <v>355</v>
      </c>
      <c r="E694" s="36" t="s">
        <v>430</v>
      </c>
      <c r="F694" s="36" t="s">
        <v>137</v>
      </c>
      <c r="L694" s="42">
        <v>-60</v>
      </c>
    </row>
    <row r="695" spans="2:12" ht="14.4" x14ac:dyDescent="0.3">
      <c r="B695" s="39">
        <v>45832</v>
      </c>
      <c r="D695" s="36" t="s">
        <v>355</v>
      </c>
      <c r="E695" s="36" t="s">
        <v>431</v>
      </c>
      <c r="F695" s="36" t="s">
        <v>137</v>
      </c>
      <c r="L695" s="42">
        <v>-60</v>
      </c>
    </row>
    <row r="696" spans="2:12" ht="14.4" x14ac:dyDescent="0.3">
      <c r="B696" s="39">
        <v>45832</v>
      </c>
      <c r="D696" s="36" t="s">
        <v>355</v>
      </c>
      <c r="E696" s="36" t="s">
        <v>432</v>
      </c>
      <c r="F696" s="36" t="s">
        <v>137</v>
      </c>
      <c r="L696" s="42">
        <v>-60</v>
      </c>
    </row>
    <row r="697" spans="2:12" ht="14.4" x14ac:dyDescent="0.3">
      <c r="B697" s="39">
        <v>45832</v>
      </c>
      <c r="D697" s="36" t="s">
        <v>355</v>
      </c>
      <c r="E697" s="36" t="s">
        <v>433</v>
      </c>
      <c r="F697" s="36" t="s">
        <v>137</v>
      </c>
      <c r="L697" s="42">
        <v>-60</v>
      </c>
    </row>
    <row r="698" spans="2:12" ht="14.4" x14ac:dyDescent="0.3">
      <c r="B698" s="39">
        <v>45832</v>
      </c>
      <c r="D698" s="36" t="s">
        <v>355</v>
      </c>
      <c r="E698" s="36" t="s">
        <v>434</v>
      </c>
      <c r="F698" s="36" t="s">
        <v>137</v>
      </c>
      <c r="L698" s="42">
        <v>-60</v>
      </c>
    </row>
    <row r="699" spans="2:12" ht="14.4" x14ac:dyDescent="0.3">
      <c r="B699" s="39">
        <v>45832</v>
      </c>
      <c r="C699" s="39" t="s">
        <v>550</v>
      </c>
      <c r="D699" s="36" t="s">
        <v>219</v>
      </c>
      <c r="E699" s="36" t="s">
        <v>300</v>
      </c>
      <c r="F699" s="36" t="s">
        <v>347</v>
      </c>
      <c r="L699" s="42">
        <v>-44.99</v>
      </c>
    </row>
    <row r="700" spans="2:12" ht="14.4" x14ac:dyDescent="0.3">
      <c r="B700" s="39">
        <v>45832</v>
      </c>
      <c r="D700" s="36" t="s">
        <v>57</v>
      </c>
      <c r="E700" s="36" t="s">
        <v>284</v>
      </c>
      <c r="F700" s="36" t="s">
        <v>72</v>
      </c>
      <c r="L700" s="42">
        <v>-20</v>
      </c>
    </row>
    <row r="701" spans="2:12" ht="14.4" x14ac:dyDescent="0.3">
      <c r="B701" s="39">
        <v>45833</v>
      </c>
      <c r="D701" s="36" t="s">
        <v>355</v>
      </c>
      <c r="E701" s="36" t="s">
        <v>435</v>
      </c>
      <c r="F701" s="36" t="s">
        <v>137</v>
      </c>
      <c r="L701" s="42">
        <v>-60</v>
      </c>
    </row>
    <row r="702" spans="2:12" ht="14.4" x14ac:dyDescent="0.3">
      <c r="B702" s="39">
        <v>45833</v>
      </c>
      <c r="D702" s="36" t="s">
        <v>355</v>
      </c>
      <c r="E702" s="36" t="s">
        <v>436</v>
      </c>
      <c r="F702" s="36" t="s">
        <v>137</v>
      </c>
      <c r="L702" s="42">
        <v>-60</v>
      </c>
    </row>
    <row r="703" spans="2:12" ht="14.4" x14ac:dyDescent="0.3">
      <c r="B703" s="39">
        <v>45833</v>
      </c>
      <c r="D703" s="36" t="s">
        <v>355</v>
      </c>
      <c r="E703" s="36" t="s">
        <v>437</v>
      </c>
      <c r="F703" s="36" t="s">
        <v>137</v>
      </c>
      <c r="L703" s="42">
        <v>-60</v>
      </c>
    </row>
    <row r="704" spans="2:12" ht="14.4" x14ac:dyDescent="0.3">
      <c r="B704" s="39">
        <v>45833</v>
      </c>
      <c r="D704" s="36" t="s">
        <v>355</v>
      </c>
      <c r="E704" s="36" t="s">
        <v>438</v>
      </c>
      <c r="F704" s="36" t="s">
        <v>137</v>
      </c>
      <c r="L704" s="42">
        <v>-60</v>
      </c>
    </row>
    <row r="705" spans="2:12" ht="14.4" x14ac:dyDescent="0.3">
      <c r="B705" s="39">
        <v>45834</v>
      </c>
      <c r="D705" s="36" t="s">
        <v>355</v>
      </c>
      <c r="E705" s="36" t="s">
        <v>439</v>
      </c>
      <c r="F705" s="36" t="s">
        <v>137</v>
      </c>
      <c r="L705" s="42">
        <v>-60</v>
      </c>
    </row>
    <row r="706" spans="2:12" ht="14.4" x14ac:dyDescent="0.3">
      <c r="B706" s="39">
        <v>45834</v>
      </c>
      <c r="D706" s="36" t="s">
        <v>355</v>
      </c>
      <c r="E706" s="36" t="s">
        <v>440</v>
      </c>
      <c r="F706" s="36" t="s">
        <v>137</v>
      </c>
      <c r="L706" s="42">
        <v>-60</v>
      </c>
    </row>
    <row r="707" spans="2:12" ht="14.4" x14ac:dyDescent="0.3">
      <c r="B707" s="39">
        <v>45834</v>
      </c>
      <c r="D707" s="36" t="s">
        <v>355</v>
      </c>
      <c r="E707" s="36" t="s">
        <v>441</v>
      </c>
      <c r="F707" s="36" t="s">
        <v>137</v>
      </c>
      <c r="L707" s="42">
        <v>-60</v>
      </c>
    </row>
    <row r="708" spans="2:12" ht="14.4" x14ac:dyDescent="0.3">
      <c r="B708" s="39">
        <v>45834</v>
      </c>
      <c r="D708" s="36" t="s">
        <v>355</v>
      </c>
      <c r="E708" s="36" t="s">
        <v>442</v>
      </c>
      <c r="F708" s="36" t="s">
        <v>137</v>
      </c>
      <c r="L708" s="42">
        <v>-60</v>
      </c>
    </row>
    <row r="709" spans="2:12" ht="14.4" x14ac:dyDescent="0.3">
      <c r="B709" s="39">
        <v>45834</v>
      </c>
      <c r="D709" s="36" t="s">
        <v>57</v>
      </c>
      <c r="E709" s="36" t="s">
        <v>518</v>
      </c>
      <c r="F709" s="36" t="s">
        <v>514</v>
      </c>
      <c r="L709" s="42">
        <v>-55.75</v>
      </c>
    </row>
    <row r="710" spans="2:12" ht="14.4" x14ac:dyDescent="0.3">
      <c r="B710" s="39">
        <v>45834</v>
      </c>
      <c r="D710" s="36" t="s">
        <v>57</v>
      </c>
      <c r="E710" s="36" t="s">
        <v>346</v>
      </c>
      <c r="F710" s="36" t="s">
        <v>193</v>
      </c>
      <c r="L710" s="42">
        <v>-50.82</v>
      </c>
    </row>
    <row r="711" spans="2:12" ht="14.4" x14ac:dyDescent="0.3">
      <c r="B711" s="39">
        <v>45834</v>
      </c>
      <c r="D711" s="36" t="s">
        <v>57</v>
      </c>
      <c r="E711" s="36" t="s">
        <v>281</v>
      </c>
      <c r="F711" s="36" t="s">
        <v>282</v>
      </c>
      <c r="L711" s="42">
        <v>-20</v>
      </c>
    </row>
    <row r="712" spans="2:12" ht="14.4" x14ac:dyDescent="0.3">
      <c r="B712" s="39">
        <v>45835</v>
      </c>
      <c r="D712" s="36" t="s">
        <v>355</v>
      </c>
      <c r="E712" s="36" t="s">
        <v>443</v>
      </c>
      <c r="F712" s="36" t="s">
        <v>137</v>
      </c>
      <c r="L712" s="42">
        <v>-60</v>
      </c>
    </row>
    <row r="713" spans="2:12" ht="14.4" x14ac:dyDescent="0.3">
      <c r="B713" s="39">
        <v>45836</v>
      </c>
      <c r="D713" s="36" t="s">
        <v>355</v>
      </c>
      <c r="E713" s="36" t="s">
        <v>450</v>
      </c>
      <c r="F713" s="36" t="s">
        <v>137</v>
      </c>
      <c r="L713" s="42">
        <v>-60</v>
      </c>
    </row>
    <row r="714" spans="2:12" ht="14.4" x14ac:dyDescent="0.3">
      <c r="B714" s="39">
        <v>45836</v>
      </c>
      <c r="D714" s="36" t="s">
        <v>355</v>
      </c>
      <c r="E714" s="36" t="s">
        <v>444</v>
      </c>
      <c r="F714" s="36" t="s">
        <v>137</v>
      </c>
      <c r="L714" s="42">
        <v>-60</v>
      </c>
    </row>
    <row r="715" spans="2:12" ht="14.4" x14ac:dyDescent="0.3">
      <c r="B715" s="39">
        <v>45836</v>
      </c>
      <c r="D715" s="36" t="s">
        <v>355</v>
      </c>
      <c r="E715" s="36" t="s">
        <v>445</v>
      </c>
      <c r="F715" s="36" t="s">
        <v>137</v>
      </c>
      <c r="L715" s="42">
        <v>-60</v>
      </c>
    </row>
    <row r="716" spans="2:12" ht="14.4" x14ac:dyDescent="0.3">
      <c r="B716" s="39">
        <v>45836</v>
      </c>
      <c r="D716" s="36" t="s">
        <v>355</v>
      </c>
      <c r="E716" s="36" t="s">
        <v>446</v>
      </c>
      <c r="F716" s="36" t="s">
        <v>137</v>
      </c>
      <c r="L716" s="42">
        <v>-60</v>
      </c>
    </row>
    <row r="717" spans="2:12" ht="14.4" x14ac:dyDescent="0.3">
      <c r="B717" s="39">
        <v>45836</v>
      </c>
      <c r="D717" s="36" t="s">
        <v>355</v>
      </c>
      <c r="E717" s="36" t="s">
        <v>449</v>
      </c>
      <c r="F717" s="36" t="s">
        <v>137</v>
      </c>
      <c r="L717" s="42">
        <v>-60</v>
      </c>
    </row>
    <row r="718" spans="2:12" ht="14.4" x14ac:dyDescent="0.3">
      <c r="B718" s="39">
        <v>45836</v>
      </c>
      <c r="D718" s="36" t="s">
        <v>355</v>
      </c>
      <c r="E718" s="36" t="s">
        <v>451</v>
      </c>
      <c r="F718" s="36" t="s">
        <v>137</v>
      </c>
      <c r="L718" s="42">
        <v>-60</v>
      </c>
    </row>
    <row r="719" spans="2:12" ht="14.4" x14ac:dyDescent="0.3">
      <c r="B719" s="39">
        <v>45836</v>
      </c>
      <c r="D719" s="36" t="s">
        <v>355</v>
      </c>
      <c r="E719" s="36" t="s">
        <v>448</v>
      </c>
      <c r="F719" s="36" t="s">
        <v>137</v>
      </c>
      <c r="L719" s="42">
        <v>-60</v>
      </c>
    </row>
    <row r="720" spans="2:12" ht="14.4" x14ac:dyDescent="0.3">
      <c r="B720" s="39">
        <v>45836</v>
      </c>
      <c r="C720" s="39" t="s">
        <v>550</v>
      </c>
      <c r="D720" s="36" t="s">
        <v>219</v>
      </c>
      <c r="E720" s="36" t="s">
        <v>205</v>
      </c>
      <c r="F720" s="36" t="s">
        <v>70</v>
      </c>
      <c r="L720" s="42">
        <v>-20.45</v>
      </c>
    </row>
    <row r="721" spans="2:12" ht="14.4" x14ac:dyDescent="0.3">
      <c r="B721" s="39">
        <v>45837</v>
      </c>
      <c r="D721" s="36" t="s">
        <v>355</v>
      </c>
      <c r="E721" s="36" t="s">
        <v>452</v>
      </c>
      <c r="F721" s="36" t="s">
        <v>137</v>
      </c>
      <c r="L721" s="42">
        <v>-60</v>
      </c>
    </row>
    <row r="722" spans="2:12" ht="14.4" x14ac:dyDescent="0.3">
      <c r="B722" s="39">
        <v>45837</v>
      </c>
      <c r="D722" s="36" t="s">
        <v>355</v>
      </c>
      <c r="E722" s="36" t="s">
        <v>456</v>
      </c>
      <c r="F722" s="36" t="s">
        <v>137</v>
      </c>
      <c r="L722" s="42">
        <v>-60</v>
      </c>
    </row>
    <row r="723" spans="2:12" ht="14.4" x14ac:dyDescent="0.3">
      <c r="B723" s="39">
        <v>45837</v>
      </c>
      <c r="D723" s="36" t="s">
        <v>355</v>
      </c>
      <c r="E723" s="36" t="s">
        <v>455</v>
      </c>
      <c r="F723" s="36" t="s">
        <v>137</v>
      </c>
      <c r="L723" s="42">
        <v>-60</v>
      </c>
    </row>
    <row r="724" spans="2:12" ht="14.4" x14ac:dyDescent="0.3">
      <c r="B724" s="39">
        <v>45837</v>
      </c>
      <c r="D724" s="36" t="s">
        <v>355</v>
      </c>
      <c r="E724" s="36" t="s">
        <v>454</v>
      </c>
      <c r="F724" s="36" t="s">
        <v>137</v>
      </c>
      <c r="L724" s="42">
        <v>-60</v>
      </c>
    </row>
    <row r="725" spans="2:12" ht="14.4" x14ac:dyDescent="0.3">
      <c r="B725" s="39">
        <v>45837</v>
      </c>
      <c r="D725" s="36" t="s">
        <v>355</v>
      </c>
      <c r="E725" s="36" t="s">
        <v>453</v>
      </c>
      <c r="F725" s="36" t="s">
        <v>137</v>
      </c>
      <c r="L725" s="42">
        <v>-60</v>
      </c>
    </row>
    <row r="726" spans="2:12" ht="14.4" x14ac:dyDescent="0.3">
      <c r="B726" s="39">
        <v>45838</v>
      </c>
      <c r="C726" s="39" t="s">
        <v>553</v>
      </c>
      <c r="D726" s="36" t="s">
        <v>194</v>
      </c>
      <c r="E726" s="36" t="s">
        <v>558</v>
      </c>
      <c r="F726" s="36" t="s">
        <v>559</v>
      </c>
      <c r="G726" s="42">
        <v>-4659</v>
      </c>
    </row>
    <row r="727" spans="2:12" ht="14.4" x14ac:dyDescent="0.3">
      <c r="B727" s="39">
        <v>45838</v>
      </c>
      <c r="D727" s="36" t="s">
        <v>194</v>
      </c>
      <c r="E727" s="36" t="s">
        <v>534</v>
      </c>
      <c r="F727" s="36" t="s">
        <v>524</v>
      </c>
      <c r="H727" s="42">
        <v>2083</v>
      </c>
    </row>
    <row r="728" spans="2:12" ht="14.4" x14ac:dyDescent="0.3">
      <c r="B728" s="39">
        <v>45838</v>
      </c>
      <c r="D728" s="36" t="s">
        <v>355</v>
      </c>
      <c r="E728" s="36" t="s">
        <v>457</v>
      </c>
      <c r="F728" s="36" t="s">
        <v>137</v>
      </c>
      <c r="L728" s="42">
        <v>-60</v>
      </c>
    </row>
    <row r="729" spans="2:12" ht="14.4" x14ac:dyDescent="0.3">
      <c r="B729" s="39">
        <v>45838</v>
      </c>
      <c r="D729" s="36" t="s">
        <v>355</v>
      </c>
      <c r="E729" s="36" t="s">
        <v>460</v>
      </c>
      <c r="F729" s="36" t="s">
        <v>137</v>
      </c>
      <c r="L729" s="42">
        <v>-60</v>
      </c>
    </row>
    <row r="730" spans="2:12" ht="14.4" x14ac:dyDescent="0.3">
      <c r="B730" s="39">
        <v>45838</v>
      </c>
      <c r="D730" s="36" t="s">
        <v>355</v>
      </c>
      <c r="E730" s="36" t="s">
        <v>459</v>
      </c>
      <c r="F730" s="36" t="s">
        <v>137</v>
      </c>
      <c r="L730" s="42">
        <v>-60</v>
      </c>
    </row>
    <row r="731" spans="2:12" ht="14.4" x14ac:dyDescent="0.3">
      <c r="B731" s="39">
        <v>45838</v>
      </c>
      <c r="D731" s="36" t="s">
        <v>355</v>
      </c>
      <c r="E731" s="36" t="s">
        <v>458</v>
      </c>
      <c r="F731" s="36" t="s">
        <v>137</v>
      </c>
      <c r="L731" s="42">
        <v>-60</v>
      </c>
    </row>
    <row r="732" spans="2:12" ht="14.4" x14ac:dyDescent="0.3">
      <c r="B732" s="39">
        <v>45838</v>
      </c>
      <c r="D732" s="36" t="s">
        <v>519</v>
      </c>
      <c r="E732" s="36" t="s">
        <v>461</v>
      </c>
      <c r="F732" s="36" t="s">
        <v>137</v>
      </c>
      <c r="L732" s="42">
        <v>-7.92</v>
      </c>
    </row>
    <row r="733" spans="2:12" ht="14.4" x14ac:dyDescent="0.3">
      <c r="B733" s="39">
        <v>45838</v>
      </c>
      <c r="D733" s="36" t="s">
        <v>355</v>
      </c>
      <c r="E733" s="36" t="s">
        <v>534</v>
      </c>
      <c r="F733" s="36" t="s">
        <v>524</v>
      </c>
      <c r="K733" s="42">
        <v>8351</v>
      </c>
    </row>
    <row r="734" spans="2:12" ht="14.4" x14ac:dyDescent="0.3">
      <c r="B734" s="39">
        <v>45838</v>
      </c>
      <c r="C734" s="39" t="s">
        <v>551</v>
      </c>
      <c r="D734" s="36" t="s">
        <v>219</v>
      </c>
      <c r="E734" s="36" t="s">
        <v>538</v>
      </c>
      <c r="F734" s="36" t="s">
        <v>537</v>
      </c>
      <c r="H734" s="42">
        <v>7184</v>
      </c>
    </row>
    <row r="735" spans="2:12" ht="14.4" x14ac:dyDescent="0.3">
      <c r="B735" s="39">
        <v>45838</v>
      </c>
      <c r="C735" s="39" t="s">
        <v>551</v>
      </c>
      <c r="D735" s="36" t="s">
        <v>219</v>
      </c>
      <c r="E735" s="36" t="s">
        <v>534</v>
      </c>
      <c r="F735" s="36" t="s">
        <v>524</v>
      </c>
      <c r="K735" s="42">
        <v>17739</v>
      </c>
    </row>
    <row r="736" spans="2:12" ht="14.4" x14ac:dyDescent="0.3">
      <c r="B736" s="39">
        <v>45838</v>
      </c>
      <c r="C736" s="39" t="s">
        <v>554</v>
      </c>
      <c r="D736" s="36" t="s">
        <v>564</v>
      </c>
      <c r="E736" s="36" t="s">
        <v>560</v>
      </c>
      <c r="F736" s="36" t="s">
        <v>561</v>
      </c>
      <c r="G736" s="42">
        <v>4659</v>
      </c>
    </row>
    <row r="737" spans="2:12" ht="14.4" x14ac:dyDescent="0.3">
      <c r="B737" s="39">
        <v>45839</v>
      </c>
      <c r="D737" s="36" t="s">
        <v>355</v>
      </c>
      <c r="E737" s="36" t="s">
        <v>464</v>
      </c>
      <c r="F737" s="36" t="s">
        <v>137</v>
      </c>
      <c r="L737" s="42">
        <v>-60</v>
      </c>
    </row>
    <row r="738" spans="2:12" ht="14.4" x14ac:dyDescent="0.3">
      <c r="B738" s="39">
        <v>45839</v>
      </c>
      <c r="D738" s="36" t="s">
        <v>355</v>
      </c>
      <c r="E738" s="36" t="s">
        <v>463</v>
      </c>
      <c r="F738" s="36" t="s">
        <v>137</v>
      </c>
      <c r="L738" s="42">
        <v>-60</v>
      </c>
    </row>
    <row r="739" spans="2:12" ht="14.4" x14ac:dyDescent="0.3">
      <c r="B739" s="39">
        <v>45839</v>
      </c>
      <c r="D739" s="36" t="s">
        <v>355</v>
      </c>
      <c r="E739" s="36" t="s">
        <v>466</v>
      </c>
      <c r="F739" s="36" t="s">
        <v>137</v>
      </c>
      <c r="L739" s="42">
        <v>-60</v>
      </c>
    </row>
    <row r="740" spans="2:12" ht="14.4" x14ac:dyDescent="0.3">
      <c r="B740" s="39">
        <v>45839</v>
      </c>
      <c r="D740" s="36" t="s">
        <v>355</v>
      </c>
      <c r="E740" s="36" t="s">
        <v>462</v>
      </c>
      <c r="F740" s="36" t="s">
        <v>137</v>
      </c>
      <c r="L740" s="42">
        <v>-60</v>
      </c>
    </row>
    <row r="741" spans="2:12" ht="14.4" x14ac:dyDescent="0.3">
      <c r="B741" s="39">
        <v>45839</v>
      </c>
      <c r="C741" s="39" t="s">
        <v>550</v>
      </c>
      <c r="D741" s="36" t="s">
        <v>219</v>
      </c>
      <c r="E741" s="36" t="s">
        <v>465</v>
      </c>
      <c r="F741" s="36" t="s">
        <v>120</v>
      </c>
      <c r="L741" s="42">
        <v>-27.87</v>
      </c>
    </row>
    <row r="742" spans="2:12" ht="14.4" x14ac:dyDescent="0.3">
      <c r="B742" s="39">
        <v>45839</v>
      </c>
      <c r="C742" s="39" t="s">
        <v>553</v>
      </c>
      <c r="D742" s="36" t="s">
        <v>564</v>
      </c>
      <c r="E742" s="36" t="s">
        <v>569</v>
      </c>
      <c r="F742" s="36" t="s">
        <v>547</v>
      </c>
      <c r="G742" s="42">
        <v>-2872</v>
      </c>
    </row>
    <row r="743" spans="2:12" ht="14.4" x14ac:dyDescent="0.3">
      <c r="B743" s="39">
        <v>45839</v>
      </c>
      <c r="C743" s="39" t="s">
        <v>554</v>
      </c>
      <c r="D743" s="36" t="s">
        <v>57</v>
      </c>
      <c r="E743" s="36" t="s">
        <v>570</v>
      </c>
      <c r="F743" s="36" t="s">
        <v>547</v>
      </c>
      <c r="G743" s="42">
        <v>2872</v>
      </c>
    </row>
    <row r="744" spans="2:12" ht="14.4" x14ac:dyDescent="0.3">
      <c r="B744" s="39">
        <v>45839</v>
      </c>
      <c r="C744" s="39" t="s">
        <v>550</v>
      </c>
      <c r="D744" s="36" t="s">
        <v>57</v>
      </c>
      <c r="E744" s="36" t="s">
        <v>569</v>
      </c>
      <c r="F744" s="36" t="s">
        <v>330</v>
      </c>
      <c r="L744" s="42">
        <v>-2872</v>
      </c>
    </row>
    <row r="745" spans="2:12" ht="14.4" x14ac:dyDescent="0.3">
      <c r="B745" s="39">
        <v>45840</v>
      </c>
      <c r="D745" s="36" t="s">
        <v>355</v>
      </c>
      <c r="E745" s="36" t="s">
        <v>468</v>
      </c>
      <c r="F745" s="36" t="s">
        <v>137</v>
      </c>
      <c r="L745" s="42">
        <v>-60</v>
      </c>
    </row>
    <row r="746" spans="2:12" ht="14.4" x14ac:dyDescent="0.3">
      <c r="B746" s="39">
        <v>45840</v>
      </c>
      <c r="D746" s="36" t="s">
        <v>355</v>
      </c>
      <c r="E746" s="36" t="s">
        <v>467</v>
      </c>
      <c r="F746" s="36" t="s">
        <v>137</v>
      </c>
      <c r="L746" s="42">
        <v>-60</v>
      </c>
    </row>
    <row r="747" spans="2:12" ht="14.4" x14ac:dyDescent="0.3">
      <c r="B747" s="39">
        <v>45840</v>
      </c>
      <c r="C747" s="39" t="s">
        <v>551</v>
      </c>
      <c r="D747" s="36" t="s">
        <v>219</v>
      </c>
      <c r="E747" s="36" t="s">
        <v>469</v>
      </c>
      <c r="F747" s="36" t="s">
        <v>100</v>
      </c>
      <c r="L747" s="42">
        <v>8907</v>
      </c>
    </row>
    <row r="748" spans="2:12" ht="14.4" x14ac:dyDescent="0.3">
      <c r="B748" s="39">
        <v>45841</v>
      </c>
      <c r="D748" s="36" t="s">
        <v>355</v>
      </c>
      <c r="E748" s="36" t="s">
        <v>470</v>
      </c>
      <c r="F748" s="36" t="s">
        <v>137</v>
      </c>
      <c r="L748" s="42">
        <v>-60</v>
      </c>
    </row>
    <row r="749" spans="2:12" ht="14.4" x14ac:dyDescent="0.3">
      <c r="B749" s="39">
        <v>45841</v>
      </c>
      <c r="C749" s="39" t="s">
        <v>550</v>
      </c>
      <c r="D749" s="36" t="s">
        <v>219</v>
      </c>
      <c r="E749" s="36" t="s">
        <v>471</v>
      </c>
      <c r="F749" s="36" t="s">
        <v>100</v>
      </c>
      <c r="L749" s="42">
        <v>-7415.73</v>
      </c>
    </row>
    <row r="750" spans="2:12" ht="14.4" x14ac:dyDescent="0.3">
      <c r="B750" s="39">
        <v>45841</v>
      </c>
      <c r="D750" s="36" t="s">
        <v>57</v>
      </c>
      <c r="E750" s="36" t="s">
        <v>471</v>
      </c>
      <c r="F750" s="36" t="s">
        <v>516</v>
      </c>
      <c r="L750" s="42">
        <v>-1259.81</v>
      </c>
    </row>
    <row r="751" spans="2:12" ht="14.4" x14ac:dyDescent="0.3">
      <c r="B751" s="39">
        <v>45843</v>
      </c>
      <c r="D751" s="36" t="s">
        <v>355</v>
      </c>
      <c r="E751" s="36" t="s">
        <v>478</v>
      </c>
      <c r="F751" s="36" t="s">
        <v>137</v>
      </c>
      <c r="L751" s="42">
        <v>-60</v>
      </c>
    </row>
    <row r="752" spans="2:12" ht="14.4" x14ac:dyDescent="0.3">
      <c r="B752" s="39">
        <v>45843</v>
      </c>
      <c r="D752" s="36" t="s">
        <v>355</v>
      </c>
      <c r="E752" s="36" t="s">
        <v>484</v>
      </c>
      <c r="F752" s="36" t="s">
        <v>137</v>
      </c>
      <c r="L752" s="42">
        <v>-60</v>
      </c>
    </row>
    <row r="753" spans="2:12" ht="14.4" x14ac:dyDescent="0.3">
      <c r="B753" s="39">
        <v>45843</v>
      </c>
      <c r="D753" s="36" t="s">
        <v>355</v>
      </c>
      <c r="E753" s="36" t="s">
        <v>480</v>
      </c>
      <c r="F753" s="36" t="s">
        <v>137</v>
      </c>
      <c r="L753" s="42">
        <v>-60</v>
      </c>
    </row>
    <row r="754" spans="2:12" ht="14.4" x14ac:dyDescent="0.3">
      <c r="B754" s="39">
        <v>45843</v>
      </c>
      <c r="D754" s="36" t="s">
        <v>355</v>
      </c>
      <c r="E754" s="36" t="s">
        <v>475</v>
      </c>
      <c r="F754" s="36" t="s">
        <v>137</v>
      </c>
      <c r="L754" s="42">
        <v>-60</v>
      </c>
    </row>
    <row r="755" spans="2:12" ht="14.4" x14ac:dyDescent="0.3">
      <c r="B755" s="39">
        <v>45843</v>
      </c>
      <c r="D755" s="36" t="s">
        <v>355</v>
      </c>
      <c r="E755" s="36" t="s">
        <v>473</v>
      </c>
      <c r="F755" s="36" t="s">
        <v>137</v>
      </c>
      <c r="L755" s="42">
        <v>-60</v>
      </c>
    </row>
    <row r="756" spans="2:12" ht="14.4" x14ac:dyDescent="0.3">
      <c r="B756" s="39">
        <v>45843</v>
      </c>
      <c r="D756" s="36" t="s">
        <v>355</v>
      </c>
      <c r="E756" s="36" t="s">
        <v>483</v>
      </c>
      <c r="F756" s="36" t="s">
        <v>137</v>
      </c>
      <c r="L756" s="42">
        <v>-60</v>
      </c>
    </row>
    <row r="757" spans="2:12" ht="14.4" x14ac:dyDescent="0.3">
      <c r="B757" s="39">
        <v>45843</v>
      </c>
      <c r="D757" s="36" t="s">
        <v>57</v>
      </c>
      <c r="E757" s="36" t="s">
        <v>474</v>
      </c>
      <c r="F757" s="36" t="s">
        <v>515</v>
      </c>
      <c r="L757" s="42">
        <v>-180</v>
      </c>
    </row>
    <row r="758" spans="2:12" ht="14.4" x14ac:dyDescent="0.3">
      <c r="B758" s="39">
        <v>45843</v>
      </c>
      <c r="D758" s="36" t="s">
        <v>355</v>
      </c>
      <c r="E758" s="36" t="s">
        <v>481</v>
      </c>
      <c r="F758" s="36" t="s">
        <v>137</v>
      </c>
      <c r="L758" s="42">
        <v>-60</v>
      </c>
    </row>
    <row r="759" spans="2:12" ht="14.4" x14ac:dyDescent="0.3">
      <c r="B759" s="39">
        <v>45843</v>
      </c>
      <c r="D759" s="36" t="s">
        <v>355</v>
      </c>
      <c r="E759" s="36" t="s">
        <v>476</v>
      </c>
      <c r="F759" s="36" t="s">
        <v>137</v>
      </c>
      <c r="L759" s="42">
        <v>-60</v>
      </c>
    </row>
    <row r="760" spans="2:12" ht="14.4" x14ac:dyDescent="0.3">
      <c r="B760" s="39">
        <v>45843</v>
      </c>
      <c r="D760" s="36" t="s">
        <v>355</v>
      </c>
      <c r="E760" s="36" t="s">
        <v>472</v>
      </c>
      <c r="F760" s="36" t="s">
        <v>137</v>
      </c>
      <c r="L760" s="42">
        <v>-60</v>
      </c>
    </row>
    <row r="761" spans="2:12" ht="14.4" x14ac:dyDescent="0.3">
      <c r="B761" s="39">
        <v>45843</v>
      </c>
      <c r="D761" s="36" t="s">
        <v>355</v>
      </c>
      <c r="E761" s="36" t="s">
        <v>479</v>
      </c>
      <c r="F761" s="36" t="s">
        <v>137</v>
      </c>
      <c r="L761" s="42">
        <v>-60</v>
      </c>
    </row>
    <row r="762" spans="2:12" ht="14.4" x14ac:dyDescent="0.3">
      <c r="B762" s="39">
        <v>45843</v>
      </c>
      <c r="D762" s="36" t="s">
        <v>57</v>
      </c>
      <c r="E762" s="36" t="s">
        <v>482</v>
      </c>
      <c r="F762" s="36" t="s">
        <v>517</v>
      </c>
      <c r="L762" s="42">
        <v>-20</v>
      </c>
    </row>
    <row r="763" spans="2:12" ht="14.4" x14ac:dyDescent="0.3">
      <c r="B763" s="39">
        <v>45843</v>
      </c>
      <c r="D763" s="36" t="s">
        <v>57</v>
      </c>
      <c r="E763" s="36" t="s">
        <v>317</v>
      </c>
      <c r="F763" s="36" t="s">
        <v>70</v>
      </c>
      <c r="L763" s="42">
        <v>-13.02</v>
      </c>
    </row>
    <row r="764" spans="2:12" ht="14.4" x14ac:dyDescent="0.3">
      <c r="B764" s="39">
        <v>45843</v>
      </c>
      <c r="D764" s="36" t="s">
        <v>57</v>
      </c>
      <c r="E764" s="36" t="s">
        <v>477</v>
      </c>
      <c r="F764" s="36" t="s">
        <v>282</v>
      </c>
      <c r="L764" s="42">
        <v>-3.27</v>
      </c>
    </row>
    <row r="765" spans="2:12" ht="14.4" x14ac:dyDescent="0.3">
      <c r="B765" s="39">
        <v>45844</v>
      </c>
      <c r="D765" s="36" t="s">
        <v>355</v>
      </c>
      <c r="E765" s="36" t="s">
        <v>486</v>
      </c>
      <c r="F765" s="36" t="s">
        <v>137</v>
      </c>
      <c r="L765" s="42">
        <v>-60</v>
      </c>
    </row>
    <row r="766" spans="2:12" ht="14.4" x14ac:dyDescent="0.3">
      <c r="B766" s="39">
        <v>45844</v>
      </c>
      <c r="D766" s="36" t="s">
        <v>355</v>
      </c>
      <c r="E766" s="36" t="s">
        <v>487</v>
      </c>
      <c r="F766" s="36" t="s">
        <v>137</v>
      </c>
      <c r="L766" s="42">
        <v>-60</v>
      </c>
    </row>
    <row r="767" spans="2:12" ht="14.4" x14ac:dyDescent="0.3">
      <c r="B767" s="39">
        <v>45844</v>
      </c>
      <c r="D767" s="36" t="s">
        <v>355</v>
      </c>
      <c r="E767" s="36" t="s">
        <v>485</v>
      </c>
      <c r="F767" s="36" t="s">
        <v>137</v>
      </c>
      <c r="L767" s="42">
        <v>-60</v>
      </c>
    </row>
    <row r="768" spans="2:12" ht="14.4" x14ac:dyDescent="0.3">
      <c r="B768" s="39">
        <v>45844</v>
      </c>
      <c r="D768" s="36" t="s">
        <v>57</v>
      </c>
      <c r="E768" s="36" t="s">
        <v>212</v>
      </c>
      <c r="F768" s="36" t="s">
        <v>70</v>
      </c>
      <c r="L768" s="42">
        <v>-14.29</v>
      </c>
    </row>
    <row r="769" spans="2:12" ht="14.4" x14ac:dyDescent="0.3">
      <c r="B769" s="39">
        <v>45845</v>
      </c>
      <c r="D769" s="36" t="s">
        <v>355</v>
      </c>
      <c r="E769" s="36" t="s">
        <v>488</v>
      </c>
      <c r="F769" s="36" t="s">
        <v>137</v>
      </c>
      <c r="L769" s="42">
        <v>-60</v>
      </c>
    </row>
    <row r="770" spans="2:12" ht="14.4" x14ac:dyDescent="0.3">
      <c r="B770" s="39">
        <v>45845</v>
      </c>
      <c r="D770" s="36" t="s">
        <v>519</v>
      </c>
      <c r="E770" s="36" t="s">
        <v>257</v>
      </c>
      <c r="F770" s="36" t="s">
        <v>131</v>
      </c>
      <c r="L770" s="42">
        <v>-38</v>
      </c>
    </row>
    <row r="771" spans="2:12" ht="14.4" x14ac:dyDescent="0.3">
      <c r="B771" s="39">
        <v>45846</v>
      </c>
      <c r="D771" s="36" t="s">
        <v>355</v>
      </c>
      <c r="E771" s="36" t="s">
        <v>489</v>
      </c>
      <c r="F771" s="36" t="s">
        <v>137</v>
      </c>
      <c r="L771" s="42">
        <v>-60</v>
      </c>
    </row>
    <row r="772" spans="2:12" ht="14.4" x14ac:dyDescent="0.3">
      <c r="B772" s="39">
        <v>45846</v>
      </c>
      <c r="D772" s="36" t="s">
        <v>355</v>
      </c>
      <c r="E772" s="36" t="s">
        <v>490</v>
      </c>
      <c r="F772" s="36" t="s">
        <v>137</v>
      </c>
      <c r="L772" s="42">
        <v>-60</v>
      </c>
    </row>
    <row r="773" spans="2:12" ht="14.4" x14ac:dyDescent="0.3">
      <c r="B773" s="39">
        <v>45846</v>
      </c>
      <c r="D773" s="36" t="s">
        <v>310</v>
      </c>
      <c r="E773" s="36" t="s">
        <v>311</v>
      </c>
      <c r="F773" s="36" t="s">
        <v>110</v>
      </c>
      <c r="K773" s="42">
        <f>-L773</f>
        <v>-9594.1200000000008</v>
      </c>
      <c r="L773" s="42">
        <v>9594.1200000000008</v>
      </c>
    </row>
    <row r="774" spans="2:12" ht="14.4" x14ac:dyDescent="0.3">
      <c r="B774" s="39">
        <v>45846</v>
      </c>
      <c r="D774" s="36" t="s">
        <v>57</v>
      </c>
      <c r="E774" s="36" t="s">
        <v>218</v>
      </c>
      <c r="F774" s="36" t="s">
        <v>70</v>
      </c>
      <c r="L774" s="42">
        <v>-15.08</v>
      </c>
    </row>
    <row r="775" spans="2:12" ht="14.4" x14ac:dyDescent="0.3">
      <c r="B775" s="39">
        <v>45847</v>
      </c>
      <c r="D775" s="36" t="s">
        <v>355</v>
      </c>
      <c r="E775" s="36" t="s">
        <v>493</v>
      </c>
      <c r="F775" s="36" t="s">
        <v>137</v>
      </c>
      <c r="L775" s="42">
        <v>-60</v>
      </c>
    </row>
    <row r="776" spans="2:12" ht="14.4" x14ac:dyDescent="0.3">
      <c r="B776" s="39">
        <v>45847</v>
      </c>
      <c r="D776" s="36" t="s">
        <v>355</v>
      </c>
      <c r="E776" s="36" t="s">
        <v>492</v>
      </c>
      <c r="F776" s="36" t="s">
        <v>137</v>
      </c>
      <c r="L776" s="42">
        <v>-60</v>
      </c>
    </row>
    <row r="777" spans="2:12" ht="14.4" x14ac:dyDescent="0.3">
      <c r="B777" s="39">
        <v>45847</v>
      </c>
      <c r="D777" s="36" t="s">
        <v>519</v>
      </c>
      <c r="E777" s="36" t="s">
        <v>278</v>
      </c>
      <c r="F777" s="36" t="s">
        <v>70</v>
      </c>
      <c r="L777" s="42">
        <v>-61.99</v>
      </c>
    </row>
    <row r="778" spans="2:12" ht="14.4" x14ac:dyDescent="0.3">
      <c r="B778" s="39">
        <v>45848</v>
      </c>
      <c r="D778" s="36" t="s">
        <v>355</v>
      </c>
      <c r="E778" s="36" t="s">
        <v>495</v>
      </c>
      <c r="F778" s="36" t="s">
        <v>137</v>
      </c>
      <c r="L778" s="42">
        <v>-60</v>
      </c>
    </row>
    <row r="779" spans="2:12" ht="14.4" x14ac:dyDescent="0.3">
      <c r="B779" s="39">
        <v>45848</v>
      </c>
      <c r="D779" s="36" t="s">
        <v>355</v>
      </c>
      <c r="E779" s="36" t="s">
        <v>494</v>
      </c>
      <c r="F779" s="36" t="s">
        <v>137</v>
      </c>
      <c r="L779" s="42">
        <v>-60</v>
      </c>
    </row>
    <row r="780" spans="2:12" ht="14.4" x14ac:dyDescent="0.3">
      <c r="B780" s="39">
        <v>45849</v>
      </c>
      <c r="D780" s="36" t="s">
        <v>355</v>
      </c>
      <c r="E780" s="36" t="s">
        <v>496</v>
      </c>
      <c r="F780" s="36" t="s">
        <v>137</v>
      </c>
      <c r="L780" s="42">
        <v>-60</v>
      </c>
    </row>
    <row r="781" spans="2:12" ht="14.4" x14ac:dyDescent="0.3">
      <c r="B781" s="39">
        <v>45850</v>
      </c>
      <c r="D781" s="36" t="s">
        <v>355</v>
      </c>
      <c r="E781" s="36" t="s">
        <v>499</v>
      </c>
      <c r="F781" s="36" t="s">
        <v>137</v>
      </c>
      <c r="L781" s="42">
        <v>-60</v>
      </c>
    </row>
    <row r="782" spans="2:12" ht="14.4" x14ac:dyDescent="0.3">
      <c r="B782" s="39">
        <v>45850</v>
      </c>
      <c r="D782" s="36" t="s">
        <v>355</v>
      </c>
      <c r="E782" s="36" t="s">
        <v>498</v>
      </c>
      <c r="F782" s="36" t="s">
        <v>137</v>
      </c>
      <c r="L782" s="42">
        <v>-60</v>
      </c>
    </row>
    <row r="783" spans="2:12" ht="14.4" x14ac:dyDescent="0.3">
      <c r="B783" s="39">
        <v>45850</v>
      </c>
      <c r="D783" s="36" t="s">
        <v>355</v>
      </c>
      <c r="E783" s="36" t="s">
        <v>497</v>
      </c>
      <c r="F783" s="36" t="s">
        <v>137</v>
      </c>
      <c r="L783" s="42">
        <v>-60</v>
      </c>
    </row>
    <row r="784" spans="2:12" ht="14.4" x14ac:dyDescent="0.3">
      <c r="B784" s="39">
        <v>45851</v>
      </c>
      <c r="D784" s="36" t="s">
        <v>355</v>
      </c>
      <c r="E784" s="36" t="s">
        <v>500</v>
      </c>
      <c r="F784" s="36" t="s">
        <v>137</v>
      </c>
      <c r="L784" s="42">
        <v>-60</v>
      </c>
    </row>
    <row r="785" spans="2:12" ht="14.4" x14ac:dyDescent="0.3">
      <c r="B785" s="39">
        <v>45851</v>
      </c>
      <c r="D785" s="36" t="s">
        <v>519</v>
      </c>
      <c r="E785" s="36" t="s">
        <v>220</v>
      </c>
      <c r="F785" s="36" t="s">
        <v>70</v>
      </c>
      <c r="L785" s="42">
        <v>-18.03</v>
      </c>
    </row>
    <row r="786" spans="2:12" ht="14.4" x14ac:dyDescent="0.3">
      <c r="B786" s="39">
        <v>45852</v>
      </c>
      <c r="D786" s="36" t="s">
        <v>355</v>
      </c>
      <c r="E786" s="36" t="s">
        <v>501</v>
      </c>
      <c r="F786" s="36" t="s">
        <v>137</v>
      </c>
      <c r="L786" s="42">
        <v>-60</v>
      </c>
    </row>
    <row r="787" spans="2:12" ht="14.4" x14ac:dyDescent="0.3">
      <c r="B787" s="39">
        <v>45852</v>
      </c>
      <c r="D787" s="36" t="s">
        <v>355</v>
      </c>
      <c r="E787" s="36" t="s">
        <v>502</v>
      </c>
      <c r="F787" s="36" t="s">
        <v>137</v>
      </c>
      <c r="L787" s="42">
        <v>-60</v>
      </c>
    </row>
    <row r="788" spans="2:12" ht="14.4" x14ac:dyDescent="0.3">
      <c r="B788" s="39">
        <v>45853</v>
      </c>
      <c r="C788" s="39" t="s">
        <v>553</v>
      </c>
      <c r="D788" s="36" t="s">
        <v>177</v>
      </c>
      <c r="E788" s="36" t="s">
        <v>567</v>
      </c>
      <c r="F788" s="36" t="s">
        <v>568</v>
      </c>
      <c r="G788" s="42">
        <v>-2245</v>
      </c>
    </row>
    <row r="789" spans="2:12" ht="14.4" x14ac:dyDescent="0.3">
      <c r="B789" s="39">
        <v>45853</v>
      </c>
      <c r="C789" s="39" t="s">
        <v>554</v>
      </c>
      <c r="D789" s="36" t="s">
        <v>564</v>
      </c>
      <c r="E789" s="36" t="s">
        <v>567</v>
      </c>
      <c r="F789" s="36" t="s">
        <v>568</v>
      </c>
      <c r="G789" s="42">
        <v>2245</v>
      </c>
    </row>
    <row r="790" spans="2:12" ht="14.4" x14ac:dyDescent="0.3">
      <c r="B790" s="39">
        <v>45853</v>
      </c>
      <c r="D790" s="36" t="s">
        <v>355</v>
      </c>
      <c r="E790" s="36" t="s">
        <v>504</v>
      </c>
      <c r="F790" s="36" t="s">
        <v>137</v>
      </c>
      <c r="L790" s="42">
        <v>-60</v>
      </c>
    </row>
    <row r="791" spans="2:12" ht="14.4" x14ac:dyDescent="0.3">
      <c r="B791" s="39">
        <v>45853</v>
      </c>
      <c r="D791" s="36" t="s">
        <v>355</v>
      </c>
      <c r="E791" s="36" t="s">
        <v>505</v>
      </c>
      <c r="F791" s="36" t="s">
        <v>137</v>
      </c>
      <c r="L791" s="42">
        <v>-60</v>
      </c>
    </row>
    <row r="792" spans="2:12" ht="14.4" x14ac:dyDescent="0.3">
      <c r="B792" s="39">
        <v>45853</v>
      </c>
      <c r="D792" s="36" t="s">
        <v>57</v>
      </c>
      <c r="E792" s="36" t="s">
        <v>503</v>
      </c>
      <c r="F792" s="36" t="s">
        <v>282</v>
      </c>
      <c r="L792" s="42">
        <v>-20.100000000000001</v>
      </c>
    </row>
    <row r="793" spans="2:12" ht="14.4" x14ac:dyDescent="0.3">
      <c r="B793" s="39">
        <v>45853</v>
      </c>
      <c r="C793" s="39" t="s">
        <v>551</v>
      </c>
      <c r="D793" s="36" t="s">
        <v>219</v>
      </c>
      <c r="E793" s="36" t="s">
        <v>540</v>
      </c>
      <c r="F793" s="36" t="s">
        <v>524</v>
      </c>
      <c r="K793" s="42">
        <v>8101</v>
      </c>
    </row>
    <row r="794" spans="2:12" ht="14.4" x14ac:dyDescent="0.3">
      <c r="B794" s="39">
        <v>45853</v>
      </c>
      <c r="C794" s="39" t="s">
        <v>554</v>
      </c>
      <c r="D794" s="36" t="s">
        <v>564</v>
      </c>
      <c r="E794" s="36" t="s">
        <v>565</v>
      </c>
      <c r="F794" s="36" t="s">
        <v>566</v>
      </c>
      <c r="G794" s="42">
        <v>2596</v>
      </c>
    </row>
    <row r="795" spans="2:12" ht="14.4" x14ac:dyDescent="0.3">
      <c r="B795" s="39">
        <v>45853</v>
      </c>
      <c r="C795" s="39" t="s">
        <v>553</v>
      </c>
      <c r="D795" s="36" t="s">
        <v>355</v>
      </c>
      <c r="E795" s="36" t="s">
        <v>565</v>
      </c>
      <c r="F795" s="36" t="s">
        <v>566</v>
      </c>
      <c r="G795" s="42">
        <v>-2596</v>
      </c>
    </row>
    <row r="796" spans="2:12" ht="14.4" x14ac:dyDescent="0.3">
      <c r="B796" s="39">
        <v>45853</v>
      </c>
      <c r="D796" s="36" t="s">
        <v>260</v>
      </c>
      <c r="E796" s="36" t="s">
        <v>168</v>
      </c>
      <c r="F796" s="36" t="s">
        <v>524</v>
      </c>
      <c r="K796" s="42">
        <v>447</v>
      </c>
    </row>
    <row r="797" spans="2:12" ht="14.4" x14ac:dyDescent="0.3">
      <c r="B797" s="39">
        <v>45853</v>
      </c>
      <c r="C797" s="39" t="s">
        <v>553</v>
      </c>
      <c r="D797" s="36" t="s">
        <v>219</v>
      </c>
      <c r="E797" s="36" t="s">
        <v>555</v>
      </c>
      <c r="F797" s="36" t="s">
        <v>512</v>
      </c>
      <c r="G797" s="42">
        <v>-50830</v>
      </c>
    </row>
    <row r="798" spans="2:12" ht="14.4" x14ac:dyDescent="0.3">
      <c r="B798" s="39">
        <v>45853</v>
      </c>
      <c r="C798" s="39" t="s">
        <v>554</v>
      </c>
      <c r="D798" s="36" t="s">
        <v>564</v>
      </c>
      <c r="E798" s="36" t="s">
        <v>512</v>
      </c>
      <c r="F798" s="36" t="s">
        <v>563</v>
      </c>
      <c r="G798" s="42">
        <v>50830</v>
      </c>
    </row>
    <row r="799" spans="2:12" ht="14.4" x14ac:dyDescent="0.3">
      <c r="B799" s="39">
        <v>45854</v>
      </c>
      <c r="D799" s="36" t="s">
        <v>355</v>
      </c>
      <c r="E799" s="36" t="s">
        <v>506</v>
      </c>
      <c r="F799" s="36" t="s">
        <v>137</v>
      </c>
      <c r="L799" s="42">
        <v>-60</v>
      </c>
    </row>
    <row r="800" spans="2:12" ht="14.4" x14ac:dyDescent="0.3">
      <c r="B800" s="39">
        <v>45854</v>
      </c>
      <c r="D800" s="36" t="s">
        <v>355</v>
      </c>
      <c r="E800" s="36" t="s">
        <v>509</v>
      </c>
      <c r="F800" s="36" t="s">
        <v>137</v>
      </c>
      <c r="L800" s="42">
        <v>-48.63</v>
      </c>
    </row>
    <row r="801" spans="2:12" ht="14.4" x14ac:dyDescent="0.3">
      <c r="B801" s="39">
        <v>45854</v>
      </c>
      <c r="D801" s="36" t="s">
        <v>279</v>
      </c>
      <c r="E801" s="36" t="s">
        <v>491</v>
      </c>
      <c r="F801" s="36" t="s">
        <v>491</v>
      </c>
      <c r="L801" s="42">
        <v>2289.3000000000002</v>
      </c>
    </row>
    <row r="802" spans="2:12" ht="14.4" x14ac:dyDescent="0.3">
      <c r="B802" s="39">
        <v>45854</v>
      </c>
      <c r="C802" s="39" t="s">
        <v>550</v>
      </c>
      <c r="D802" s="36" t="s">
        <v>564</v>
      </c>
      <c r="E802" s="36" t="s">
        <v>507</v>
      </c>
      <c r="F802" s="36" t="s">
        <v>563</v>
      </c>
      <c r="H802" s="42">
        <f>-7184-3666</f>
        <v>-10850</v>
      </c>
      <c r="L802" s="42">
        <v>-2399</v>
      </c>
    </row>
    <row r="803" spans="2:12" ht="14.4" x14ac:dyDescent="0.3">
      <c r="B803" s="39">
        <v>45854</v>
      </c>
      <c r="C803" s="39" t="s">
        <v>550</v>
      </c>
      <c r="D803" s="36" t="s">
        <v>564</v>
      </c>
      <c r="E803" s="36" t="s">
        <v>508</v>
      </c>
      <c r="F803" s="36" t="s">
        <v>563</v>
      </c>
      <c r="L803" s="42">
        <v>-6470</v>
      </c>
    </row>
    <row r="804" spans="2:12" ht="14.4" x14ac:dyDescent="0.3">
      <c r="B804" s="39">
        <v>45854</v>
      </c>
      <c r="C804" s="39" t="s">
        <v>550</v>
      </c>
      <c r="D804" s="36" t="s">
        <v>564</v>
      </c>
      <c r="E804" s="36" t="s">
        <v>513</v>
      </c>
      <c r="F804" s="36" t="s">
        <v>563</v>
      </c>
      <c r="L804" s="42">
        <v>-13249</v>
      </c>
    </row>
    <row r="805" spans="2:12" ht="14.4" x14ac:dyDescent="0.3">
      <c r="B805" s="39">
        <v>45855</v>
      </c>
      <c r="D805" s="36" t="s">
        <v>355</v>
      </c>
      <c r="E805" s="36" t="s">
        <v>510</v>
      </c>
      <c r="F805" s="36" t="s">
        <v>137</v>
      </c>
      <c r="L805" s="42">
        <v>-60</v>
      </c>
    </row>
    <row r="806" spans="2:12" ht="14.4" x14ac:dyDescent="0.3">
      <c r="B806" s="39">
        <v>45855</v>
      </c>
      <c r="D806" s="36" t="s">
        <v>355</v>
      </c>
      <c r="E806" s="36" t="s">
        <v>511</v>
      </c>
      <c r="F806" s="36" t="s">
        <v>137</v>
      </c>
      <c r="L806" s="42">
        <v>-60</v>
      </c>
    </row>
    <row r="807" spans="2:12" ht="14.4" x14ac:dyDescent="0.3">
      <c r="B807" s="39">
        <v>45856</v>
      </c>
      <c r="D807" s="36" t="s">
        <v>355</v>
      </c>
      <c r="E807" s="36" t="s">
        <v>522</v>
      </c>
      <c r="F807" s="36" t="s">
        <v>72</v>
      </c>
      <c r="L807" s="42">
        <v>-20</v>
      </c>
    </row>
    <row r="808" spans="2:12" ht="14.4" x14ac:dyDescent="0.3">
      <c r="B808" s="39">
        <v>45857</v>
      </c>
      <c r="C808" s="39" t="s">
        <v>553</v>
      </c>
      <c r="D808" s="36" t="s">
        <v>564</v>
      </c>
      <c r="E808" s="36" t="s">
        <v>571</v>
      </c>
      <c r="F808" s="36" t="s">
        <v>547</v>
      </c>
      <c r="G808" s="42">
        <v>-10000</v>
      </c>
    </row>
    <row r="809" spans="2:12" ht="14.4" x14ac:dyDescent="0.3">
      <c r="B809" s="39">
        <v>45857</v>
      </c>
      <c r="C809" s="39" t="s">
        <v>554</v>
      </c>
      <c r="D809" s="36" t="s">
        <v>57</v>
      </c>
      <c r="E809" s="36" t="s">
        <v>570</v>
      </c>
      <c r="F809" s="36" t="s">
        <v>572</v>
      </c>
      <c r="G809" s="42">
        <v>10000</v>
      </c>
    </row>
    <row r="810" spans="2:12" ht="14.4" x14ac:dyDescent="0.3">
      <c r="B810" s="39">
        <v>45857</v>
      </c>
      <c r="C810" s="39" t="s">
        <v>550</v>
      </c>
      <c r="D810" s="36" t="s">
        <v>564</v>
      </c>
      <c r="E810" s="36" t="s">
        <v>573</v>
      </c>
      <c r="F810" s="36" t="s">
        <v>563</v>
      </c>
      <c r="L810" s="42">
        <v>-13249</v>
      </c>
    </row>
    <row r="811" spans="2:12" ht="14.4" x14ac:dyDescent="0.3">
      <c r="B811" s="39">
        <v>45857</v>
      </c>
      <c r="C811" s="39" t="s">
        <v>553</v>
      </c>
      <c r="D811" s="36" t="s">
        <v>564</v>
      </c>
      <c r="E811" s="36" t="s">
        <v>571</v>
      </c>
      <c r="F811" s="36" t="s">
        <v>547</v>
      </c>
      <c r="G811" s="42">
        <v>-5000</v>
      </c>
    </row>
    <row r="812" spans="2:12" ht="14.4" x14ac:dyDescent="0.3">
      <c r="B812" s="39">
        <v>45857</v>
      </c>
      <c r="C812" s="39" t="s">
        <v>554</v>
      </c>
      <c r="D812" s="36" t="s">
        <v>57</v>
      </c>
      <c r="E812" s="36" t="s">
        <v>570</v>
      </c>
      <c r="F812" s="36" t="s">
        <v>572</v>
      </c>
      <c r="G812" s="42">
        <v>5000</v>
      </c>
    </row>
    <row r="813" spans="2:12" ht="14.4" x14ac:dyDescent="0.3">
      <c r="B813" s="39">
        <v>45857</v>
      </c>
      <c r="D813" s="36" t="s">
        <v>355</v>
      </c>
      <c r="E813" s="36" t="s">
        <v>575</v>
      </c>
      <c r="F813" s="36" t="s">
        <v>137</v>
      </c>
      <c r="L813" s="42">
        <v>-60</v>
      </c>
    </row>
    <row r="814" spans="2:12" ht="14.4" x14ac:dyDescent="0.3">
      <c r="B814" s="39">
        <v>45857</v>
      </c>
      <c r="D814" s="36" t="s">
        <v>355</v>
      </c>
      <c r="E814" s="36" t="s">
        <v>576</v>
      </c>
      <c r="F814" s="36" t="s">
        <v>137</v>
      </c>
      <c r="L814" s="42">
        <v>-60</v>
      </c>
    </row>
    <row r="815" spans="2:12" ht="14.4" x14ac:dyDescent="0.3">
      <c r="B815" s="39">
        <v>45857</v>
      </c>
      <c r="D815" s="36" t="s">
        <v>355</v>
      </c>
      <c r="E815" s="36" t="s">
        <v>577</v>
      </c>
      <c r="F815" s="36" t="s">
        <v>137</v>
      </c>
      <c r="L815" s="42">
        <v>-60</v>
      </c>
    </row>
    <row r="816" spans="2:12" ht="14.4" x14ac:dyDescent="0.3">
      <c r="B816" s="39">
        <v>45857</v>
      </c>
      <c r="D816" s="36" t="s">
        <v>355</v>
      </c>
      <c r="E816" s="36" t="s">
        <v>578</v>
      </c>
      <c r="F816" s="36" t="s">
        <v>137</v>
      </c>
      <c r="L816" s="42">
        <v>-60</v>
      </c>
    </row>
    <row r="817" spans="2:12" ht="14.4" x14ac:dyDescent="0.3">
      <c r="B817" s="39">
        <v>45858</v>
      </c>
      <c r="D817" s="36" t="s">
        <v>355</v>
      </c>
      <c r="E817" s="36" t="s">
        <v>579</v>
      </c>
      <c r="F817" s="36" t="s">
        <v>137</v>
      </c>
      <c r="L817" s="42">
        <v>-60</v>
      </c>
    </row>
    <row r="818" spans="2:12" ht="14.4" x14ac:dyDescent="0.3">
      <c r="B818" s="39">
        <v>45858</v>
      </c>
      <c r="D818" s="36" t="s">
        <v>57</v>
      </c>
      <c r="E818" s="36" t="s">
        <v>766</v>
      </c>
      <c r="F818" s="36" t="s">
        <v>70</v>
      </c>
      <c r="L818" s="42">
        <v>-29.41</v>
      </c>
    </row>
    <row r="819" spans="2:12" ht="14.4" x14ac:dyDescent="0.3">
      <c r="B819" s="39">
        <v>45858</v>
      </c>
      <c r="D819" s="36" t="s">
        <v>57</v>
      </c>
      <c r="E819" s="36" t="s">
        <v>767</v>
      </c>
      <c r="F819" s="36" t="s">
        <v>70</v>
      </c>
      <c r="L819" s="42">
        <v>-8.2200000000000006</v>
      </c>
    </row>
    <row r="820" spans="2:12" ht="14.4" x14ac:dyDescent="0.3">
      <c r="B820" s="39">
        <v>45859</v>
      </c>
      <c r="D820" s="36" t="s">
        <v>355</v>
      </c>
      <c r="E820" s="36" t="s">
        <v>580</v>
      </c>
      <c r="F820" s="36" t="s">
        <v>137</v>
      </c>
      <c r="L820" s="42">
        <v>-60</v>
      </c>
    </row>
    <row r="821" spans="2:12" ht="14.4" x14ac:dyDescent="0.3">
      <c r="B821" s="39">
        <v>45860</v>
      </c>
      <c r="D821" s="36" t="s">
        <v>355</v>
      </c>
      <c r="E821" s="36" t="s">
        <v>581</v>
      </c>
      <c r="F821" s="36" t="s">
        <v>137</v>
      </c>
      <c r="L821" s="42">
        <v>-60</v>
      </c>
    </row>
    <row r="822" spans="2:12" ht="14.4" x14ac:dyDescent="0.3">
      <c r="B822" s="39">
        <v>45861</v>
      </c>
      <c r="D822" s="36" t="s">
        <v>355</v>
      </c>
      <c r="E822" s="36" t="s">
        <v>582</v>
      </c>
      <c r="F822" s="36" t="s">
        <v>137</v>
      </c>
      <c r="L822" s="42">
        <v>-60</v>
      </c>
    </row>
    <row r="823" spans="2:12" ht="14.4" x14ac:dyDescent="0.3">
      <c r="B823" s="39">
        <v>45861</v>
      </c>
      <c r="D823" s="36" t="s">
        <v>355</v>
      </c>
      <c r="E823" s="36" t="s">
        <v>583</v>
      </c>
      <c r="F823" s="36" t="s">
        <v>137</v>
      </c>
      <c r="L823" s="42">
        <v>-60</v>
      </c>
    </row>
    <row r="824" spans="2:12" ht="14.4" x14ac:dyDescent="0.3">
      <c r="B824" s="39">
        <v>45861</v>
      </c>
      <c r="D824" s="36" t="s">
        <v>57</v>
      </c>
      <c r="E824" s="36" t="s">
        <v>346</v>
      </c>
      <c r="F824" s="36" t="s">
        <v>193</v>
      </c>
      <c r="L824" s="42">
        <v>-50.31</v>
      </c>
    </row>
    <row r="825" spans="2:12" ht="14.4" x14ac:dyDescent="0.3">
      <c r="B825" s="39">
        <v>45862</v>
      </c>
      <c r="D825" s="36" t="s">
        <v>355</v>
      </c>
      <c r="E825" s="36" t="s">
        <v>584</v>
      </c>
      <c r="F825" s="36" t="s">
        <v>137</v>
      </c>
      <c r="L825" s="42">
        <v>-60</v>
      </c>
    </row>
    <row r="826" spans="2:12" ht="14.4" x14ac:dyDescent="0.3">
      <c r="B826" s="39">
        <v>45862</v>
      </c>
      <c r="D826" s="36" t="s">
        <v>519</v>
      </c>
      <c r="E826" s="36" t="s">
        <v>264</v>
      </c>
      <c r="F826" s="36" t="s">
        <v>121</v>
      </c>
      <c r="L826" s="42">
        <v>-100</v>
      </c>
    </row>
    <row r="827" spans="2:12" ht="14.4" x14ac:dyDescent="0.3">
      <c r="B827" s="39">
        <v>45862</v>
      </c>
      <c r="D827" s="36" t="s">
        <v>519</v>
      </c>
      <c r="E827" s="36" t="s">
        <v>264</v>
      </c>
      <c r="F827" s="36" t="s">
        <v>121</v>
      </c>
      <c r="L827" s="42">
        <v>-0.66</v>
      </c>
    </row>
    <row r="828" spans="2:12" ht="14.4" x14ac:dyDescent="0.3">
      <c r="B828" s="39">
        <v>45864</v>
      </c>
      <c r="D828" s="36" t="s">
        <v>355</v>
      </c>
      <c r="E828" s="36" t="s">
        <v>585</v>
      </c>
      <c r="F828" s="36" t="s">
        <v>137</v>
      </c>
      <c r="L828" s="42">
        <v>-60</v>
      </c>
    </row>
    <row r="829" spans="2:12" ht="14.4" x14ac:dyDescent="0.3">
      <c r="B829" s="39">
        <v>45864</v>
      </c>
      <c r="D829" s="36" t="s">
        <v>355</v>
      </c>
      <c r="E829" s="36" t="s">
        <v>586</v>
      </c>
      <c r="F829" s="36" t="s">
        <v>137</v>
      </c>
      <c r="L829" s="42">
        <v>-60</v>
      </c>
    </row>
    <row r="830" spans="2:12" ht="14.4" x14ac:dyDescent="0.3">
      <c r="B830" s="39">
        <v>45864</v>
      </c>
      <c r="D830" s="36" t="s">
        <v>355</v>
      </c>
      <c r="E830" s="36" t="s">
        <v>587</v>
      </c>
      <c r="F830" s="36" t="s">
        <v>137</v>
      </c>
      <c r="L830" s="42">
        <v>-60</v>
      </c>
    </row>
    <row r="831" spans="2:12" ht="14.4" x14ac:dyDescent="0.3">
      <c r="B831" s="39">
        <v>45864</v>
      </c>
      <c r="D831" s="36" t="s">
        <v>355</v>
      </c>
      <c r="E831" s="36" t="s">
        <v>588</v>
      </c>
      <c r="F831" s="36" t="s">
        <v>137</v>
      </c>
      <c r="L831" s="42">
        <v>-60</v>
      </c>
    </row>
    <row r="832" spans="2:12" ht="14.4" x14ac:dyDescent="0.3">
      <c r="B832" s="39">
        <v>45864</v>
      </c>
      <c r="D832" s="36" t="s">
        <v>519</v>
      </c>
      <c r="E832" s="36" t="s">
        <v>589</v>
      </c>
      <c r="F832" s="36" t="s">
        <v>137</v>
      </c>
      <c r="L832" s="42">
        <v>-900</v>
      </c>
    </row>
    <row r="833" spans="2:12" ht="14.4" x14ac:dyDescent="0.3">
      <c r="B833" s="39">
        <v>45864</v>
      </c>
      <c r="D833" s="36" t="s">
        <v>57</v>
      </c>
      <c r="E833" s="36" t="s">
        <v>281</v>
      </c>
      <c r="F833" s="36" t="s">
        <v>282</v>
      </c>
      <c r="L833" s="42">
        <v>-20</v>
      </c>
    </row>
    <row r="834" spans="2:12" ht="14.4" x14ac:dyDescent="0.3">
      <c r="B834" s="39">
        <v>45865</v>
      </c>
      <c r="D834" s="36" t="s">
        <v>355</v>
      </c>
      <c r="E834" s="36" t="s">
        <v>590</v>
      </c>
      <c r="F834" s="36" t="s">
        <v>137</v>
      </c>
      <c r="L834" s="42">
        <v>-60</v>
      </c>
    </row>
    <row r="835" spans="2:12" ht="14.4" x14ac:dyDescent="0.3">
      <c r="B835" s="39">
        <v>45865</v>
      </c>
      <c r="D835" s="36" t="s">
        <v>355</v>
      </c>
      <c r="E835" s="36" t="s">
        <v>591</v>
      </c>
      <c r="F835" s="36" t="s">
        <v>137</v>
      </c>
      <c r="L835" s="42">
        <v>-60</v>
      </c>
    </row>
    <row r="836" spans="2:12" ht="14.4" x14ac:dyDescent="0.3">
      <c r="B836" s="39">
        <v>45866</v>
      </c>
      <c r="D836" s="36" t="s">
        <v>355</v>
      </c>
      <c r="E836" s="36" t="s">
        <v>592</v>
      </c>
      <c r="F836" s="36" t="s">
        <v>137</v>
      </c>
      <c r="L836" s="42">
        <v>-60</v>
      </c>
    </row>
    <row r="837" spans="2:12" ht="14.4" x14ac:dyDescent="0.3">
      <c r="B837" s="39">
        <v>45866</v>
      </c>
      <c r="D837" s="36" t="s">
        <v>519</v>
      </c>
      <c r="E837" s="36" t="s">
        <v>768</v>
      </c>
      <c r="F837" s="36" t="s">
        <v>70</v>
      </c>
      <c r="L837" s="42">
        <v>-20.350000000000001</v>
      </c>
    </row>
    <row r="838" spans="2:12" ht="14.4" x14ac:dyDescent="0.3">
      <c r="B838" s="39">
        <v>45867</v>
      </c>
      <c r="D838" s="36" t="s">
        <v>355</v>
      </c>
      <c r="E838" s="36" t="s">
        <v>593</v>
      </c>
      <c r="F838" s="36" t="s">
        <v>137</v>
      </c>
      <c r="L838" s="42">
        <v>-60</v>
      </c>
    </row>
    <row r="839" spans="2:12" ht="14.4" x14ac:dyDescent="0.3">
      <c r="B839" s="39">
        <v>45867</v>
      </c>
      <c r="D839" s="36" t="s">
        <v>355</v>
      </c>
      <c r="E839" s="36" t="s">
        <v>594</v>
      </c>
      <c r="F839" s="36" t="s">
        <v>137</v>
      </c>
      <c r="L839" s="42">
        <v>-60</v>
      </c>
    </row>
    <row r="840" spans="2:12" ht="14.4" x14ac:dyDescent="0.3">
      <c r="B840" s="39">
        <v>45867</v>
      </c>
      <c r="D840" s="36" t="s">
        <v>57</v>
      </c>
      <c r="E840" s="36" t="s">
        <v>767</v>
      </c>
      <c r="F840" s="36" t="s">
        <v>70</v>
      </c>
      <c r="L840" s="42">
        <v>-8.0299999999999994</v>
      </c>
    </row>
    <row r="841" spans="2:12" ht="14.4" x14ac:dyDescent="0.3">
      <c r="B841" s="39">
        <v>45868</v>
      </c>
      <c r="D841" s="36" t="s">
        <v>355</v>
      </c>
      <c r="E841" s="36" t="s">
        <v>1122</v>
      </c>
      <c r="F841" s="36" t="s">
        <v>524</v>
      </c>
      <c r="K841" s="42">
        <v>5244</v>
      </c>
    </row>
    <row r="842" spans="2:12" ht="14.4" x14ac:dyDescent="0.3">
      <c r="B842" s="39">
        <v>45868</v>
      </c>
      <c r="D842" s="36" t="s">
        <v>355</v>
      </c>
      <c r="E842" s="36" t="s">
        <v>595</v>
      </c>
      <c r="F842" s="36" t="s">
        <v>137</v>
      </c>
      <c r="L842" s="42">
        <v>-60</v>
      </c>
    </row>
    <row r="843" spans="2:12" ht="14.4" x14ac:dyDescent="0.3">
      <c r="B843" s="39">
        <v>45868</v>
      </c>
      <c r="D843" s="36" t="s">
        <v>355</v>
      </c>
      <c r="E843" s="36" t="s">
        <v>596</v>
      </c>
      <c r="F843" s="36" t="s">
        <v>137</v>
      </c>
      <c r="L843" s="42">
        <v>-60</v>
      </c>
    </row>
    <row r="844" spans="2:12" ht="14.4" x14ac:dyDescent="0.3">
      <c r="B844" s="39">
        <v>45868</v>
      </c>
      <c r="D844" s="36" t="s">
        <v>194</v>
      </c>
      <c r="E844" s="36" t="s">
        <v>1124</v>
      </c>
      <c r="F844" s="36" t="s">
        <v>524</v>
      </c>
      <c r="H844" s="42">
        <v>656</v>
      </c>
    </row>
    <row r="845" spans="2:12" ht="14.4" x14ac:dyDescent="0.3">
      <c r="B845" s="39">
        <v>45869</v>
      </c>
      <c r="D845" s="36" t="s">
        <v>355</v>
      </c>
      <c r="E845" s="36" t="s">
        <v>597</v>
      </c>
      <c r="F845" s="36" t="s">
        <v>137</v>
      </c>
      <c r="L845" s="42">
        <v>-60</v>
      </c>
    </row>
    <row r="846" spans="2:12" ht="14.4" x14ac:dyDescent="0.3">
      <c r="B846" s="39">
        <v>45869</v>
      </c>
      <c r="D846" s="36" t="s">
        <v>519</v>
      </c>
      <c r="E846" s="36" t="s">
        <v>598</v>
      </c>
      <c r="F846" s="36" t="s">
        <v>137</v>
      </c>
      <c r="L846" s="42">
        <v>-141.9</v>
      </c>
    </row>
    <row r="847" spans="2:12" ht="14.4" x14ac:dyDescent="0.3">
      <c r="B847" s="39">
        <v>45870</v>
      </c>
      <c r="D847" s="36" t="s">
        <v>355</v>
      </c>
      <c r="E847" s="36" t="s">
        <v>599</v>
      </c>
      <c r="F847" s="36" t="s">
        <v>137</v>
      </c>
      <c r="L847" s="42">
        <v>-60</v>
      </c>
    </row>
    <row r="848" spans="2:12" ht="14.4" x14ac:dyDescent="0.3">
      <c r="B848" s="39">
        <v>45870</v>
      </c>
      <c r="D848" s="36" t="s">
        <v>519</v>
      </c>
      <c r="E848" s="36" t="s">
        <v>312</v>
      </c>
      <c r="F848" s="36" t="s">
        <v>115</v>
      </c>
      <c r="L848" s="42">
        <v>-20</v>
      </c>
    </row>
    <row r="849" spans="2:12" ht="14.4" x14ac:dyDescent="0.3">
      <c r="B849" s="39">
        <v>45870</v>
      </c>
      <c r="D849" s="36" t="s">
        <v>519</v>
      </c>
      <c r="E849" s="36" t="s">
        <v>300</v>
      </c>
      <c r="F849" s="36" t="s">
        <v>347</v>
      </c>
      <c r="L849" s="42">
        <v>-44.99</v>
      </c>
    </row>
    <row r="850" spans="2:12" ht="14.4" x14ac:dyDescent="0.3">
      <c r="B850" s="39">
        <v>45871</v>
      </c>
      <c r="D850" s="36" t="s">
        <v>355</v>
      </c>
      <c r="E850" s="36" t="s">
        <v>600</v>
      </c>
      <c r="F850" s="36" t="s">
        <v>137</v>
      </c>
      <c r="L850" s="42">
        <v>-60</v>
      </c>
    </row>
    <row r="851" spans="2:12" ht="14.4" x14ac:dyDescent="0.3">
      <c r="B851" s="39">
        <v>45871</v>
      </c>
      <c r="D851" s="36" t="s">
        <v>355</v>
      </c>
      <c r="E851" s="36" t="s">
        <v>601</v>
      </c>
      <c r="F851" s="36" t="s">
        <v>137</v>
      </c>
      <c r="L851" s="42">
        <v>-60</v>
      </c>
    </row>
    <row r="852" spans="2:12" ht="14.4" x14ac:dyDescent="0.3">
      <c r="B852" s="39">
        <v>45871</v>
      </c>
      <c r="D852" s="36" t="s">
        <v>355</v>
      </c>
      <c r="E852" s="36" t="s">
        <v>602</v>
      </c>
      <c r="F852" s="36" t="s">
        <v>137</v>
      </c>
      <c r="L852" s="42">
        <v>-60</v>
      </c>
    </row>
    <row r="853" spans="2:12" ht="14.4" x14ac:dyDescent="0.3">
      <c r="B853" s="39">
        <v>45871</v>
      </c>
      <c r="D853" s="36" t="s">
        <v>355</v>
      </c>
      <c r="E853" s="36" t="s">
        <v>603</v>
      </c>
      <c r="F853" s="36" t="s">
        <v>137</v>
      </c>
      <c r="L853" s="42">
        <v>-60</v>
      </c>
    </row>
    <row r="854" spans="2:12" ht="14.4" x14ac:dyDescent="0.3">
      <c r="B854" s="39">
        <v>45872</v>
      </c>
      <c r="D854" s="36" t="s">
        <v>355</v>
      </c>
      <c r="E854" s="36" t="s">
        <v>604</v>
      </c>
      <c r="F854" s="36" t="s">
        <v>137</v>
      </c>
      <c r="L854" s="42">
        <v>-60</v>
      </c>
    </row>
    <row r="855" spans="2:12" ht="14.4" x14ac:dyDescent="0.3">
      <c r="B855" s="39">
        <v>45872</v>
      </c>
      <c r="D855" s="36" t="s">
        <v>355</v>
      </c>
      <c r="E855" s="36" t="s">
        <v>605</v>
      </c>
      <c r="F855" s="36" t="s">
        <v>137</v>
      </c>
      <c r="L855" s="42">
        <v>-60</v>
      </c>
    </row>
    <row r="856" spans="2:12" ht="14.4" x14ac:dyDescent="0.3">
      <c r="B856" s="39">
        <v>45872</v>
      </c>
      <c r="D856" s="36" t="s">
        <v>355</v>
      </c>
      <c r="E856" s="36" t="s">
        <v>606</v>
      </c>
      <c r="F856" s="36" t="s">
        <v>137</v>
      </c>
      <c r="L856" s="42">
        <v>-60</v>
      </c>
    </row>
    <row r="857" spans="2:12" ht="14.4" x14ac:dyDescent="0.3">
      <c r="B857" s="39">
        <v>45872</v>
      </c>
      <c r="D857" s="36" t="s">
        <v>57</v>
      </c>
      <c r="E857" s="36" t="s">
        <v>768</v>
      </c>
      <c r="F857" s="36" t="s">
        <v>70</v>
      </c>
      <c r="L857" s="42">
        <v>-12.59</v>
      </c>
    </row>
    <row r="858" spans="2:12" ht="14.4" x14ac:dyDescent="0.3">
      <c r="B858" s="39">
        <v>45873</v>
      </c>
      <c r="D858" s="36" t="s">
        <v>355</v>
      </c>
      <c r="E858" s="36" t="s">
        <v>607</v>
      </c>
      <c r="F858" s="36" t="s">
        <v>137</v>
      </c>
      <c r="L858" s="42">
        <v>-60</v>
      </c>
    </row>
    <row r="859" spans="2:12" ht="14.4" x14ac:dyDescent="0.3">
      <c r="B859" s="39">
        <v>45873</v>
      </c>
      <c r="D859" s="36" t="s">
        <v>355</v>
      </c>
      <c r="E859" s="36" t="s">
        <v>608</v>
      </c>
      <c r="F859" s="36" t="s">
        <v>137</v>
      </c>
      <c r="L859" s="42">
        <v>-60</v>
      </c>
    </row>
    <row r="860" spans="2:12" ht="14.4" x14ac:dyDescent="0.3">
      <c r="B860" s="39">
        <v>45873</v>
      </c>
      <c r="D860" s="36" t="s">
        <v>355</v>
      </c>
      <c r="E860" s="36" t="s">
        <v>609</v>
      </c>
      <c r="F860" s="36" t="s">
        <v>137</v>
      </c>
      <c r="L860" s="42">
        <v>-60</v>
      </c>
    </row>
    <row r="861" spans="2:12" ht="14.4" x14ac:dyDescent="0.3">
      <c r="B861" s="39">
        <v>45873</v>
      </c>
      <c r="D861" s="36" t="s">
        <v>57</v>
      </c>
      <c r="E861" s="36" t="s">
        <v>345</v>
      </c>
      <c r="F861" s="36" t="s">
        <v>202</v>
      </c>
      <c r="L861" s="42">
        <v>-20</v>
      </c>
    </row>
    <row r="862" spans="2:12" ht="14.4" x14ac:dyDescent="0.3">
      <c r="B862" s="39">
        <v>45873</v>
      </c>
      <c r="D862" s="36" t="s">
        <v>57</v>
      </c>
      <c r="E862" s="36" t="s">
        <v>482</v>
      </c>
      <c r="F862" s="36" t="s">
        <v>517</v>
      </c>
      <c r="L862" s="42">
        <v>-20</v>
      </c>
    </row>
    <row r="863" spans="2:12" ht="14.4" x14ac:dyDescent="0.3">
      <c r="B863" s="39">
        <v>45873</v>
      </c>
      <c r="D863" s="36" t="s">
        <v>57</v>
      </c>
      <c r="E863" s="36" t="s">
        <v>769</v>
      </c>
      <c r="F863" s="36" t="s">
        <v>780</v>
      </c>
      <c r="L863" s="42">
        <v>-27.67</v>
      </c>
    </row>
    <row r="864" spans="2:12" ht="14.4" x14ac:dyDescent="0.3">
      <c r="B864" s="39">
        <v>45874</v>
      </c>
      <c r="D864" s="36" t="s">
        <v>355</v>
      </c>
      <c r="E864" s="36" t="s">
        <v>610</v>
      </c>
      <c r="F864" s="36" t="s">
        <v>137</v>
      </c>
      <c r="L864" s="42">
        <v>-60</v>
      </c>
    </row>
    <row r="865" spans="2:12" ht="14.4" x14ac:dyDescent="0.3">
      <c r="B865" s="39">
        <v>45874</v>
      </c>
      <c r="D865" s="36" t="s">
        <v>355</v>
      </c>
      <c r="E865" s="36" t="s">
        <v>611</v>
      </c>
      <c r="F865" s="36" t="s">
        <v>137</v>
      </c>
      <c r="L865" s="42">
        <v>-60</v>
      </c>
    </row>
    <row r="866" spans="2:12" ht="14.4" x14ac:dyDescent="0.3">
      <c r="B866" s="39">
        <v>45874</v>
      </c>
      <c r="D866" s="36" t="s">
        <v>355</v>
      </c>
      <c r="E866" s="36" t="s">
        <v>612</v>
      </c>
      <c r="F866" s="36" t="s">
        <v>137</v>
      </c>
      <c r="L866" s="42">
        <v>-60</v>
      </c>
    </row>
    <row r="867" spans="2:12" ht="14.4" x14ac:dyDescent="0.3">
      <c r="B867" s="39">
        <v>45874</v>
      </c>
      <c r="D867" s="36" t="s">
        <v>519</v>
      </c>
      <c r="E867" s="36" t="s">
        <v>264</v>
      </c>
      <c r="F867" s="36" t="s">
        <v>121</v>
      </c>
      <c r="L867" s="42">
        <v>-20</v>
      </c>
    </row>
    <row r="868" spans="2:12" ht="14.4" x14ac:dyDescent="0.3">
      <c r="B868" s="39">
        <v>45874</v>
      </c>
      <c r="D868" s="36" t="s">
        <v>57</v>
      </c>
      <c r="E868" s="36" t="s">
        <v>770</v>
      </c>
      <c r="F868" s="36" t="s">
        <v>282</v>
      </c>
      <c r="L868" s="42">
        <v>-40.36</v>
      </c>
    </row>
    <row r="869" spans="2:12" ht="14.4" x14ac:dyDescent="0.3">
      <c r="B869" s="39">
        <v>45874</v>
      </c>
      <c r="D869" s="36" t="s">
        <v>519</v>
      </c>
      <c r="E869" s="36" t="s">
        <v>465</v>
      </c>
      <c r="F869" s="36" t="s">
        <v>120</v>
      </c>
      <c r="L869" s="42">
        <v>-27.54</v>
      </c>
    </row>
    <row r="870" spans="2:12" ht="14.4" x14ac:dyDescent="0.3">
      <c r="B870" s="39">
        <v>45875</v>
      </c>
      <c r="D870" s="36" t="s">
        <v>355</v>
      </c>
      <c r="E870" s="36" t="s">
        <v>613</v>
      </c>
      <c r="F870" s="36" t="s">
        <v>137</v>
      </c>
      <c r="L870" s="42">
        <v>-60</v>
      </c>
    </row>
    <row r="871" spans="2:12" ht="14.4" x14ac:dyDescent="0.3">
      <c r="B871" s="39">
        <v>45875</v>
      </c>
      <c r="D871" s="36" t="s">
        <v>519</v>
      </c>
      <c r="E871" s="36" t="s">
        <v>264</v>
      </c>
      <c r="F871" s="36" t="s">
        <v>121</v>
      </c>
      <c r="L871" s="42">
        <v>-20</v>
      </c>
    </row>
    <row r="872" spans="2:12" ht="14.4" x14ac:dyDescent="0.3">
      <c r="B872" s="39">
        <v>45875</v>
      </c>
      <c r="D872" s="36" t="s">
        <v>519</v>
      </c>
      <c r="E872" s="36" t="s">
        <v>264</v>
      </c>
      <c r="F872" s="36" t="s">
        <v>121</v>
      </c>
      <c r="L872" s="42">
        <v>-20</v>
      </c>
    </row>
    <row r="873" spans="2:12" ht="14.4" x14ac:dyDescent="0.3">
      <c r="B873" s="39">
        <v>45875</v>
      </c>
      <c r="D873" s="36" t="s">
        <v>57</v>
      </c>
      <c r="E873" s="36" t="s">
        <v>771</v>
      </c>
      <c r="F873" s="36" t="s">
        <v>282</v>
      </c>
      <c r="L873" s="42">
        <v>-21.27</v>
      </c>
    </row>
    <row r="874" spans="2:12" ht="14.4" x14ac:dyDescent="0.3">
      <c r="B874" s="39">
        <v>45875</v>
      </c>
      <c r="D874" s="36" t="s">
        <v>57</v>
      </c>
      <c r="E874" s="36" t="s">
        <v>768</v>
      </c>
      <c r="F874" s="36" t="s">
        <v>70</v>
      </c>
      <c r="L874" s="42">
        <v>-13.87</v>
      </c>
    </row>
    <row r="875" spans="2:12" ht="14.4" x14ac:dyDescent="0.3">
      <c r="B875" s="39">
        <v>45876</v>
      </c>
      <c r="D875" s="36" t="s">
        <v>355</v>
      </c>
      <c r="E875" s="36" t="s">
        <v>614</v>
      </c>
      <c r="F875" s="36" t="s">
        <v>137</v>
      </c>
      <c r="L875" s="42">
        <v>-60</v>
      </c>
    </row>
    <row r="876" spans="2:12" ht="14.4" x14ac:dyDescent="0.3">
      <c r="B876" s="39">
        <v>45876</v>
      </c>
      <c r="D876" s="36" t="s">
        <v>519</v>
      </c>
      <c r="E876" s="36" t="s">
        <v>264</v>
      </c>
      <c r="F876" s="36" t="s">
        <v>121</v>
      </c>
      <c r="L876" s="42">
        <v>-20</v>
      </c>
    </row>
    <row r="877" spans="2:12" ht="14.4" x14ac:dyDescent="0.3">
      <c r="B877" s="39">
        <v>45876</v>
      </c>
      <c r="D877" s="36" t="s">
        <v>519</v>
      </c>
      <c r="E877" s="36" t="s">
        <v>264</v>
      </c>
      <c r="F877" s="36" t="s">
        <v>121</v>
      </c>
      <c r="L877" s="42">
        <v>-20</v>
      </c>
    </row>
    <row r="878" spans="2:12" ht="14.4" x14ac:dyDescent="0.3">
      <c r="B878" s="39">
        <v>45876</v>
      </c>
      <c r="D878" s="36" t="s">
        <v>519</v>
      </c>
      <c r="E878" s="36" t="s">
        <v>341</v>
      </c>
      <c r="F878" s="36" t="s">
        <v>200</v>
      </c>
      <c r="L878" s="42">
        <v>-59</v>
      </c>
    </row>
    <row r="879" spans="2:12" ht="14.4" x14ac:dyDescent="0.3">
      <c r="B879" s="39">
        <v>45876</v>
      </c>
      <c r="D879" s="36" t="s">
        <v>519</v>
      </c>
      <c r="E879" s="36" t="s">
        <v>257</v>
      </c>
      <c r="F879" s="36" t="s">
        <v>131</v>
      </c>
      <c r="L879" s="42">
        <v>-38</v>
      </c>
    </row>
    <row r="880" spans="2:12" ht="14.4" x14ac:dyDescent="0.3">
      <c r="B880" s="39">
        <v>45877</v>
      </c>
      <c r="D880" s="36" t="s">
        <v>519</v>
      </c>
      <c r="E880" s="36" t="s">
        <v>264</v>
      </c>
      <c r="F880" s="36" t="s">
        <v>121</v>
      </c>
      <c r="L880" s="42">
        <v>-20</v>
      </c>
    </row>
    <row r="881" spans="2:12" ht="14.4" x14ac:dyDescent="0.3">
      <c r="B881" s="39">
        <v>45877</v>
      </c>
      <c r="D881" s="36" t="s">
        <v>519</v>
      </c>
      <c r="E881" s="36" t="s">
        <v>264</v>
      </c>
      <c r="F881" s="36" t="s">
        <v>121</v>
      </c>
      <c r="L881" s="42">
        <v>-20</v>
      </c>
    </row>
    <row r="882" spans="2:12" ht="14.4" x14ac:dyDescent="0.3">
      <c r="B882" s="39">
        <v>45878</v>
      </c>
      <c r="D882" s="36" t="s">
        <v>355</v>
      </c>
      <c r="E882" s="36" t="s">
        <v>615</v>
      </c>
      <c r="F882" s="36" t="s">
        <v>137</v>
      </c>
      <c r="L882" s="42">
        <v>-60</v>
      </c>
    </row>
    <row r="883" spans="2:12" ht="14.4" x14ac:dyDescent="0.3">
      <c r="B883" s="39">
        <v>45878</v>
      </c>
      <c r="D883" s="36" t="s">
        <v>355</v>
      </c>
      <c r="E883" s="36" t="s">
        <v>616</v>
      </c>
      <c r="F883" s="36" t="s">
        <v>137</v>
      </c>
      <c r="L883" s="42">
        <v>-60</v>
      </c>
    </row>
    <row r="884" spans="2:12" ht="14.4" x14ac:dyDescent="0.3">
      <c r="B884" s="39">
        <v>45878</v>
      </c>
      <c r="D884" s="36" t="s">
        <v>519</v>
      </c>
      <c r="E884" s="36" t="s">
        <v>264</v>
      </c>
      <c r="F884" s="36" t="s">
        <v>121</v>
      </c>
      <c r="L884" s="42">
        <v>-20</v>
      </c>
    </row>
    <row r="885" spans="2:12" ht="14.4" x14ac:dyDescent="0.3">
      <c r="B885" s="39">
        <v>45878</v>
      </c>
      <c r="D885" s="36" t="s">
        <v>519</v>
      </c>
      <c r="E885" s="36" t="s">
        <v>768</v>
      </c>
      <c r="F885" s="36" t="s">
        <v>70</v>
      </c>
      <c r="L885" s="42">
        <v>-61.58</v>
      </c>
    </row>
    <row r="886" spans="2:12" ht="14.4" x14ac:dyDescent="0.3">
      <c r="B886" s="39">
        <v>45878</v>
      </c>
      <c r="D886" s="36" t="s">
        <v>519</v>
      </c>
      <c r="E886" s="36" t="s">
        <v>772</v>
      </c>
      <c r="F886" s="36" t="s">
        <v>70</v>
      </c>
      <c r="L886" s="42">
        <v>-14.8</v>
      </c>
    </row>
    <row r="887" spans="2:12" ht="14.4" x14ac:dyDescent="0.3">
      <c r="B887" s="39">
        <v>45879</v>
      </c>
      <c r="D887" s="36" t="s">
        <v>519</v>
      </c>
      <c r="E887" s="36" t="s">
        <v>264</v>
      </c>
      <c r="F887" s="36" t="s">
        <v>121</v>
      </c>
      <c r="L887" s="42">
        <v>-20</v>
      </c>
    </row>
    <row r="888" spans="2:12" ht="14.4" x14ac:dyDescent="0.3">
      <c r="B888" s="39">
        <v>45879</v>
      </c>
      <c r="D888" s="36" t="s">
        <v>519</v>
      </c>
      <c r="E888" s="36" t="s">
        <v>264</v>
      </c>
      <c r="F888" s="36" t="s">
        <v>121</v>
      </c>
      <c r="L888" s="42">
        <v>-20</v>
      </c>
    </row>
    <row r="889" spans="2:12" ht="14.4" x14ac:dyDescent="0.3">
      <c r="B889" s="39">
        <v>45879</v>
      </c>
      <c r="D889" s="36" t="s">
        <v>519</v>
      </c>
      <c r="E889" s="36" t="s">
        <v>264</v>
      </c>
      <c r="F889" s="36" t="s">
        <v>121</v>
      </c>
      <c r="L889" s="42">
        <v>-20</v>
      </c>
    </row>
    <row r="890" spans="2:12" ht="14.4" x14ac:dyDescent="0.3">
      <c r="B890" s="39">
        <v>45879</v>
      </c>
      <c r="D890" s="36" t="s">
        <v>519</v>
      </c>
      <c r="E890" s="36" t="s">
        <v>264</v>
      </c>
      <c r="F890" s="36" t="s">
        <v>121</v>
      </c>
      <c r="L890" s="42">
        <v>-20</v>
      </c>
    </row>
    <row r="891" spans="2:12" ht="14.4" x14ac:dyDescent="0.3">
      <c r="B891" s="39">
        <v>45879</v>
      </c>
      <c r="D891" s="36" t="s">
        <v>519</v>
      </c>
      <c r="E891" s="36" t="s">
        <v>264</v>
      </c>
      <c r="F891" s="36" t="s">
        <v>121</v>
      </c>
      <c r="L891" s="42">
        <v>-20</v>
      </c>
    </row>
    <row r="892" spans="2:12" ht="14.4" x14ac:dyDescent="0.3">
      <c r="B892" s="39">
        <v>45879</v>
      </c>
      <c r="D892" s="36" t="s">
        <v>519</v>
      </c>
      <c r="E892" s="36" t="s">
        <v>264</v>
      </c>
      <c r="F892" s="36" t="s">
        <v>121</v>
      </c>
      <c r="L892" s="42">
        <v>-20</v>
      </c>
    </row>
    <row r="893" spans="2:12" ht="14.4" x14ac:dyDescent="0.3">
      <c r="B893" s="39">
        <v>45879</v>
      </c>
      <c r="D893" s="36" t="s">
        <v>519</v>
      </c>
      <c r="E893" s="36" t="s">
        <v>264</v>
      </c>
      <c r="F893" s="36" t="s">
        <v>121</v>
      </c>
      <c r="L893" s="42">
        <v>-20</v>
      </c>
    </row>
    <row r="894" spans="2:12" ht="14.4" x14ac:dyDescent="0.3">
      <c r="B894" s="39">
        <v>45879</v>
      </c>
      <c r="D894" s="36" t="s">
        <v>519</v>
      </c>
      <c r="E894" s="36" t="s">
        <v>264</v>
      </c>
      <c r="F894" s="36" t="s">
        <v>121</v>
      </c>
      <c r="L894" s="42">
        <v>-20</v>
      </c>
    </row>
    <row r="895" spans="2:12" ht="14.4" x14ac:dyDescent="0.3">
      <c r="B895" s="39">
        <v>45880</v>
      </c>
      <c r="D895" s="36" t="s">
        <v>355</v>
      </c>
      <c r="E895" s="36" t="s">
        <v>617</v>
      </c>
      <c r="F895" s="36" t="s">
        <v>137</v>
      </c>
      <c r="L895" s="42">
        <v>-60</v>
      </c>
    </row>
    <row r="896" spans="2:12" ht="14.4" x14ac:dyDescent="0.3">
      <c r="B896" s="39">
        <v>45880</v>
      </c>
      <c r="D896" s="36" t="s">
        <v>519</v>
      </c>
      <c r="E896" s="36" t="s">
        <v>264</v>
      </c>
      <c r="F896" s="36" t="s">
        <v>121</v>
      </c>
      <c r="L896" s="42">
        <v>-20</v>
      </c>
    </row>
    <row r="897" spans="2:12" ht="14.4" x14ac:dyDescent="0.3">
      <c r="B897" s="39">
        <v>45880</v>
      </c>
      <c r="D897" s="36" t="s">
        <v>519</v>
      </c>
      <c r="E897" s="36" t="s">
        <v>264</v>
      </c>
      <c r="F897" s="36" t="s">
        <v>121</v>
      </c>
      <c r="L897" s="42">
        <v>-20</v>
      </c>
    </row>
    <row r="898" spans="2:12" ht="14.4" x14ac:dyDescent="0.3">
      <c r="B898" s="39">
        <v>45880</v>
      </c>
      <c r="D898" s="36" t="s">
        <v>519</v>
      </c>
      <c r="E898" s="36" t="s">
        <v>264</v>
      </c>
      <c r="F898" s="36" t="s">
        <v>121</v>
      </c>
      <c r="L898" s="42">
        <v>-20</v>
      </c>
    </row>
    <row r="899" spans="2:12" ht="14.4" x14ac:dyDescent="0.3">
      <c r="B899" s="39">
        <v>45880</v>
      </c>
      <c r="D899" s="36" t="s">
        <v>519</v>
      </c>
      <c r="E899" s="36" t="s">
        <v>264</v>
      </c>
      <c r="F899" s="36" t="s">
        <v>121</v>
      </c>
      <c r="L899" s="42">
        <v>-20</v>
      </c>
    </row>
    <row r="900" spans="2:12" ht="14.4" x14ac:dyDescent="0.3">
      <c r="B900" s="39">
        <v>45880</v>
      </c>
      <c r="D900" s="36" t="s">
        <v>519</v>
      </c>
      <c r="E900" s="36" t="s">
        <v>264</v>
      </c>
      <c r="F900" s="36" t="s">
        <v>121</v>
      </c>
      <c r="L900" s="42">
        <v>-20</v>
      </c>
    </row>
    <row r="901" spans="2:12" ht="14.4" x14ac:dyDescent="0.3">
      <c r="B901" s="39">
        <v>45880</v>
      </c>
      <c r="D901" s="36" t="s">
        <v>519</v>
      </c>
      <c r="E901" s="36" t="s">
        <v>264</v>
      </c>
      <c r="F901" s="36" t="s">
        <v>121</v>
      </c>
      <c r="L901" s="42">
        <v>-20</v>
      </c>
    </row>
    <row r="902" spans="2:12" ht="14.4" x14ac:dyDescent="0.3">
      <c r="B902" s="39">
        <v>45880</v>
      </c>
      <c r="D902" s="36" t="s">
        <v>519</v>
      </c>
      <c r="E902" s="36" t="s">
        <v>264</v>
      </c>
      <c r="F902" s="36" t="s">
        <v>121</v>
      </c>
      <c r="L902" s="42">
        <v>-20</v>
      </c>
    </row>
    <row r="903" spans="2:12" ht="14.4" x14ac:dyDescent="0.3">
      <c r="B903" s="39">
        <v>45880</v>
      </c>
      <c r="D903" s="36" t="s">
        <v>519</v>
      </c>
      <c r="E903" s="36" t="s">
        <v>264</v>
      </c>
      <c r="F903" s="36" t="s">
        <v>121</v>
      </c>
      <c r="L903" s="42">
        <v>-20</v>
      </c>
    </row>
    <row r="904" spans="2:12" ht="14.4" x14ac:dyDescent="0.3">
      <c r="B904" s="39">
        <v>45881</v>
      </c>
      <c r="D904" s="36" t="s">
        <v>355</v>
      </c>
      <c r="E904" s="36" t="s">
        <v>618</v>
      </c>
      <c r="F904" s="36" t="s">
        <v>137</v>
      </c>
      <c r="L904" s="42">
        <v>-60</v>
      </c>
    </row>
    <row r="905" spans="2:12" ht="14.4" x14ac:dyDescent="0.3">
      <c r="B905" s="39">
        <v>45881</v>
      </c>
      <c r="D905" s="36" t="s">
        <v>519</v>
      </c>
      <c r="E905" s="36" t="s">
        <v>264</v>
      </c>
      <c r="F905" s="36" t="s">
        <v>121</v>
      </c>
      <c r="L905" s="42">
        <v>-20</v>
      </c>
    </row>
    <row r="906" spans="2:12" ht="14.4" x14ac:dyDescent="0.3">
      <c r="B906" s="39">
        <v>45881</v>
      </c>
      <c r="D906" s="36" t="s">
        <v>519</v>
      </c>
      <c r="E906" s="36" t="s">
        <v>264</v>
      </c>
      <c r="F906" s="36" t="s">
        <v>121</v>
      </c>
      <c r="L906" s="42">
        <v>-20</v>
      </c>
    </row>
    <row r="907" spans="2:12" ht="14.4" x14ac:dyDescent="0.3">
      <c r="B907" s="39">
        <v>45881</v>
      </c>
      <c r="D907" s="36" t="s">
        <v>519</v>
      </c>
      <c r="E907" s="36" t="s">
        <v>264</v>
      </c>
      <c r="F907" s="36" t="s">
        <v>121</v>
      </c>
      <c r="L907" s="42">
        <v>-20</v>
      </c>
    </row>
    <row r="908" spans="2:12" ht="14.4" x14ac:dyDescent="0.3">
      <c r="B908" s="39">
        <v>45881</v>
      </c>
      <c r="D908" s="36" t="s">
        <v>519</v>
      </c>
      <c r="E908" s="36" t="s">
        <v>264</v>
      </c>
      <c r="F908" s="36" t="s">
        <v>121</v>
      </c>
      <c r="L908" s="42">
        <v>-20</v>
      </c>
    </row>
    <row r="909" spans="2:12" ht="14.4" x14ac:dyDescent="0.3">
      <c r="B909" s="39">
        <v>45881</v>
      </c>
      <c r="D909" s="36" t="s">
        <v>310</v>
      </c>
      <c r="E909" s="36" t="s">
        <v>311</v>
      </c>
      <c r="F909" s="36" t="s">
        <v>110</v>
      </c>
      <c r="K909" s="42">
        <v>-18997</v>
      </c>
      <c r="L909" s="42">
        <v>18997</v>
      </c>
    </row>
    <row r="910" spans="2:12" ht="14.4" x14ac:dyDescent="0.3">
      <c r="B910" s="39">
        <v>45881</v>
      </c>
      <c r="D910" s="36" t="s">
        <v>57</v>
      </c>
      <c r="E910" s="36" t="s">
        <v>773</v>
      </c>
      <c r="F910" s="36" t="s">
        <v>330</v>
      </c>
      <c r="L910" s="42">
        <v>-2920</v>
      </c>
    </row>
    <row r="911" spans="2:12" ht="14.4" x14ac:dyDescent="0.3">
      <c r="B911" s="39">
        <v>45882</v>
      </c>
      <c r="D911" s="36" t="s">
        <v>519</v>
      </c>
      <c r="E911" s="36" t="s">
        <v>264</v>
      </c>
      <c r="F911" s="36" t="s">
        <v>121</v>
      </c>
      <c r="L911" s="42">
        <v>-20</v>
      </c>
    </row>
    <row r="912" spans="2:12" ht="14.4" x14ac:dyDescent="0.3">
      <c r="B912" s="39">
        <v>45882</v>
      </c>
      <c r="D912" s="36" t="s">
        <v>519</v>
      </c>
      <c r="E912" s="36" t="s">
        <v>341</v>
      </c>
      <c r="F912" s="36" t="s">
        <v>200</v>
      </c>
      <c r="L912" s="42">
        <v>-59</v>
      </c>
    </row>
    <row r="913" spans="2:12" ht="14.4" x14ac:dyDescent="0.3">
      <c r="B913" s="39">
        <v>45882</v>
      </c>
      <c r="D913" s="36" t="s">
        <v>785</v>
      </c>
      <c r="E913" s="36" t="s">
        <v>257</v>
      </c>
      <c r="F913" s="36" t="s">
        <v>131</v>
      </c>
      <c r="L913" s="42">
        <v>-38</v>
      </c>
    </row>
    <row r="914" spans="2:12" ht="14.4" x14ac:dyDescent="0.3">
      <c r="B914" s="39">
        <v>45882</v>
      </c>
      <c r="D914" s="36" t="s">
        <v>783</v>
      </c>
      <c r="E914" s="36" t="s">
        <v>507</v>
      </c>
      <c r="F914" s="36" t="s">
        <v>137</v>
      </c>
      <c r="L914" s="42">
        <v>-1004</v>
      </c>
    </row>
    <row r="915" spans="2:12" ht="14.4" x14ac:dyDescent="0.3">
      <c r="B915" s="39">
        <v>45883</v>
      </c>
      <c r="D915" s="36" t="s">
        <v>355</v>
      </c>
      <c r="E915" s="36" t="s">
        <v>619</v>
      </c>
      <c r="F915" s="36" t="s">
        <v>137</v>
      </c>
      <c r="L915" s="42">
        <v>-60</v>
      </c>
    </row>
    <row r="916" spans="2:12" ht="14.4" x14ac:dyDescent="0.3">
      <c r="B916" s="39">
        <v>45883</v>
      </c>
      <c r="D916" s="36" t="s">
        <v>355</v>
      </c>
      <c r="E916" s="36" t="s">
        <v>620</v>
      </c>
      <c r="F916" s="36" t="s">
        <v>137</v>
      </c>
      <c r="L916" s="42">
        <v>-60</v>
      </c>
    </row>
    <row r="917" spans="2:12" ht="14.4" x14ac:dyDescent="0.3">
      <c r="B917" s="39">
        <v>45883</v>
      </c>
      <c r="D917" s="36" t="s">
        <v>519</v>
      </c>
      <c r="E917" s="36" t="s">
        <v>264</v>
      </c>
      <c r="F917" s="36" t="s">
        <v>121</v>
      </c>
      <c r="L917" s="42">
        <v>-20</v>
      </c>
    </row>
    <row r="918" spans="2:12" ht="14.4" x14ac:dyDescent="0.3">
      <c r="B918" s="39">
        <v>45883</v>
      </c>
      <c r="D918" s="36" t="s">
        <v>519</v>
      </c>
      <c r="E918" s="36" t="s">
        <v>264</v>
      </c>
      <c r="F918" s="36" t="s">
        <v>121</v>
      </c>
      <c r="L918" s="42">
        <v>-20</v>
      </c>
    </row>
    <row r="919" spans="2:12" ht="14.4" x14ac:dyDescent="0.3">
      <c r="B919" s="39">
        <v>45883</v>
      </c>
      <c r="D919" s="36" t="s">
        <v>519</v>
      </c>
      <c r="E919" s="36" t="s">
        <v>768</v>
      </c>
      <c r="F919" s="36" t="s">
        <v>70</v>
      </c>
      <c r="L919" s="42">
        <v>-17.88</v>
      </c>
    </row>
    <row r="920" spans="2:12" ht="14.4" x14ac:dyDescent="0.3">
      <c r="B920" s="39">
        <v>45884</v>
      </c>
      <c r="D920" s="36" t="s">
        <v>519</v>
      </c>
      <c r="E920" s="36" t="s">
        <v>774</v>
      </c>
      <c r="F920" s="36" t="s">
        <v>779</v>
      </c>
      <c r="L920" s="42">
        <v>-25</v>
      </c>
    </row>
    <row r="921" spans="2:12" ht="14.4" x14ac:dyDescent="0.3">
      <c r="B921" s="39">
        <v>45885</v>
      </c>
      <c r="D921" s="36" t="s">
        <v>355</v>
      </c>
      <c r="E921" s="36" t="s">
        <v>621</v>
      </c>
      <c r="F921" s="36" t="s">
        <v>137</v>
      </c>
      <c r="L921" s="42">
        <v>-60</v>
      </c>
    </row>
    <row r="922" spans="2:12" ht="14.4" x14ac:dyDescent="0.3">
      <c r="B922" s="39">
        <v>45885</v>
      </c>
      <c r="D922" s="36" t="s">
        <v>355</v>
      </c>
      <c r="E922" s="36" t="s">
        <v>622</v>
      </c>
      <c r="F922" s="36" t="s">
        <v>137</v>
      </c>
      <c r="L922" s="42">
        <v>-60</v>
      </c>
    </row>
    <row r="923" spans="2:12" ht="14.4" x14ac:dyDescent="0.3">
      <c r="B923" s="39">
        <v>45885</v>
      </c>
      <c r="D923" s="36" t="s">
        <v>519</v>
      </c>
      <c r="E923" s="36" t="s">
        <v>264</v>
      </c>
      <c r="F923" s="36" t="s">
        <v>121</v>
      </c>
      <c r="L923" s="42">
        <v>-20</v>
      </c>
    </row>
    <row r="924" spans="2:12" ht="14.4" x14ac:dyDescent="0.3">
      <c r="B924" s="39">
        <v>45885</v>
      </c>
      <c r="D924" s="36" t="s">
        <v>519</v>
      </c>
      <c r="E924" s="36" t="s">
        <v>264</v>
      </c>
      <c r="F924" s="36" t="s">
        <v>121</v>
      </c>
      <c r="L924" s="42">
        <v>-20</v>
      </c>
    </row>
    <row r="925" spans="2:12" ht="14.4" x14ac:dyDescent="0.3">
      <c r="B925" s="39">
        <v>45886</v>
      </c>
      <c r="D925" s="36" t="s">
        <v>519</v>
      </c>
      <c r="E925" s="36" t="s">
        <v>623</v>
      </c>
      <c r="F925" s="36" t="s">
        <v>137</v>
      </c>
      <c r="L925" s="42">
        <v>-14</v>
      </c>
    </row>
    <row r="926" spans="2:12" ht="14.4" x14ac:dyDescent="0.3">
      <c r="B926" s="39">
        <v>45886</v>
      </c>
      <c r="D926" s="36" t="s">
        <v>519</v>
      </c>
      <c r="E926" s="36" t="s">
        <v>624</v>
      </c>
      <c r="F926" s="36" t="s">
        <v>137</v>
      </c>
      <c r="L926" s="42">
        <v>-14</v>
      </c>
    </row>
    <row r="927" spans="2:12" ht="14.4" x14ac:dyDescent="0.3">
      <c r="B927" s="39">
        <v>45886</v>
      </c>
      <c r="D927" s="36" t="s">
        <v>519</v>
      </c>
      <c r="E927" s="36" t="s">
        <v>625</v>
      </c>
      <c r="F927" s="36" t="s">
        <v>137</v>
      </c>
      <c r="L927" s="42">
        <v>-14</v>
      </c>
    </row>
    <row r="928" spans="2:12" ht="14.4" x14ac:dyDescent="0.3">
      <c r="B928" s="39">
        <v>45886</v>
      </c>
      <c r="D928" s="36" t="s">
        <v>519</v>
      </c>
      <c r="E928" s="36" t="s">
        <v>626</v>
      </c>
      <c r="F928" s="36" t="s">
        <v>137</v>
      </c>
      <c r="L928" s="42">
        <v>-13</v>
      </c>
    </row>
    <row r="929" spans="2:12" ht="14.4" x14ac:dyDescent="0.3">
      <c r="B929" s="39">
        <v>45886</v>
      </c>
      <c r="D929" s="36" t="s">
        <v>519</v>
      </c>
      <c r="E929" s="36" t="s">
        <v>627</v>
      </c>
      <c r="F929" s="36" t="s">
        <v>137</v>
      </c>
      <c r="L929" s="42">
        <v>-14</v>
      </c>
    </row>
    <row r="930" spans="2:12" ht="14.4" x14ac:dyDescent="0.3">
      <c r="B930" s="39">
        <v>45886</v>
      </c>
      <c r="D930" s="36" t="s">
        <v>519</v>
      </c>
      <c r="E930" s="36" t="s">
        <v>628</v>
      </c>
      <c r="F930" s="36" t="s">
        <v>137</v>
      </c>
      <c r="L930" s="42">
        <v>-14</v>
      </c>
    </row>
    <row r="931" spans="2:12" ht="14.4" x14ac:dyDescent="0.3">
      <c r="B931" s="39">
        <v>45886</v>
      </c>
      <c r="D931" s="36" t="s">
        <v>519</v>
      </c>
      <c r="E931" s="36" t="s">
        <v>629</v>
      </c>
      <c r="F931" s="36" t="s">
        <v>137</v>
      </c>
      <c r="L931" s="42">
        <v>-8</v>
      </c>
    </row>
    <row r="932" spans="2:12" ht="14.4" x14ac:dyDescent="0.3">
      <c r="B932" s="39">
        <v>45886</v>
      </c>
      <c r="D932" s="36" t="s">
        <v>519</v>
      </c>
      <c r="E932" s="36" t="s">
        <v>630</v>
      </c>
      <c r="F932" s="36" t="s">
        <v>137</v>
      </c>
      <c r="L932" s="42">
        <v>-7</v>
      </c>
    </row>
    <row r="933" spans="2:12" ht="14.4" x14ac:dyDescent="0.3">
      <c r="B933" s="39">
        <v>45886</v>
      </c>
      <c r="D933" s="36" t="s">
        <v>519</v>
      </c>
      <c r="E933" s="36" t="s">
        <v>631</v>
      </c>
      <c r="F933" s="36" t="s">
        <v>137</v>
      </c>
      <c r="L933" s="42">
        <v>-7</v>
      </c>
    </row>
    <row r="934" spans="2:12" ht="14.4" x14ac:dyDescent="0.3">
      <c r="B934" s="39">
        <v>45886</v>
      </c>
      <c r="D934" s="36" t="s">
        <v>519</v>
      </c>
      <c r="E934" s="36" t="s">
        <v>632</v>
      </c>
      <c r="F934" s="36" t="s">
        <v>137</v>
      </c>
      <c r="L934" s="42">
        <v>-10</v>
      </c>
    </row>
    <row r="935" spans="2:12" ht="14.4" x14ac:dyDescent="0.3">
      <c r="B935" s="39">
        <v>45886</v>
      </c>
      <c r="D935" s="36" t="s">
        <v>519</v>
      </c>
      <c r="E935" s="36" t="s">
        <v>633</v>
      </c>
      <c r="F935" s="36" t="s">
        <v>137</v>
      </c>
      <c r="L935" s="42">
        <v>-9</v>
      </c>
    </row>
    <row r="936" spans="2:12" ht="14.4" x14ac:dyDescent="0.3">
      <c r="B936" s="39">
        <v>45886</v>
      </c>
      <c r="D936" s="36" t="s">
        <v>519</v>
      </c>
      <c r="E936" s="36" t="s">
        <v>634</v>
      </c>
      <c r="F936" s="36" t="s">
        <v>137</v>
      </c>
      <c r="L936" s="42">
        <v>-11</v>
      </c>
    </row>
    <row r="937" spans="2:12" ht="14.4" x14ac:dyDescent="0.3">
      <c r="B937" s="39">
        <v>45886</v>
      </c>
      <c r="D937" s="36" t="s">
        <v>519</v>
      </c>
      <c r="E937" s="36" t="s">
        <v>635</v>
      </c>
      <c r="F937" s="36" t="s">
        <v>137</v>
      </c>
      <c r="L937" s="42">
        <v>-14</v>
      </c>
    </row>
    <row r="938" spans="2:12" ht="14.4" x14ac:dyDescent="0.3">
      <c r="B938" s="39">
        <v>45886</v>
      </c>
      <c r="D938" s="36" t="s">
        <v>519</v>
      </c>
      <c r="E938" s="36" t="s">
        <v>636</v>
      </c>
      <c r="F938" s="36" t="s">
        <v>137</v>
      </c>
      <c r="L938" s="42">
        <v>-12</v>
      </c>
    </row>
    <row r="939" spans="2:12" ht="14.4" x14ac:dyDescent="0.3">
      <c r="B939" s="39">
        <v>45886</v>
      </c>
      <c r="D939" s="36" t="s">
        <v>519</v>
      </c>
      <c r="E939" s="36" t="s">
        <v>637</v>
      </c>
      <c r="F939" s="36" t="s">
        <v>137</v>
      </c>
      <c r="L939" s="42">
        <v>-2.2000000000000002</v>
      </c>
    </row>
    <row r="940" spans="2:12" ht="14.4" x14ac:dyDescent="0.3">
      <c r="B940" s="39">
        <v>45886</v>
      </c>
      <c r="D940" s="36" t="s">
        <v>519</v>
      </c>
      <c r="E940" s="36" t="s">
        <v>638</v>
      </c>
      <c r="F940" s="36" t="s">
        <v>137</v>
      </c>
      <c r="L940" s="42">
        <v>-2.21</v>
      </c>
    </row>
    <row r="941" spans="2:12" ht="14.4" x14ac:dyDescent="0.3">
      <c r="B941" s="39">
        <v>45886</v>
      </c>
      <c r="D941" s="36" t="s">
        <v>519</v>
      </c>
      <c r="E941" s="36" t="s">
        <v>639</v>
      </c>
      <c r="F941" s="36" t="s">
        <v>137</v>
      </c>
      <c r="L941" s="42">
        <v>-11.74</v>
      </c>
    </row>
    <row r="942" spans="2:12" ht="14.4" x14ac:dyDescent="0.3">
      <c r="B942" s="39">
        <v>45886</v>
      </c>
      <c r="D942" s="36" t="s">
        <v>519</v>
      </c>
      <c r="E942" s="36" t="s">
        <v>640</v>
      </c>
      <c r="F942" s="36" t="s">
        <v>137</v>
      </c>
      <c r="L942" s="42">
        <v>-1.26</v>
      </c>
    </row>
    <row r="943" spans="2:12" ht="14.4" x14ac:dyDescent="0.3">
      <c r="B943" s="39">
        <v>45886</v>
      </c>
      <c r="D943" s="36" t="s">
        <v>519</v>
      </c>
      <c r="E943" s="36" t="s">
        <v>641</v>
      </c>
      <c r="F943" s="36" t="s">
        <v>137</v>
      </c>
      <c r="L943" s="42">
        <v>-6.66</v>
      </c>
    </row>
    <row r="944" spans="2:12" ht="14.4" x14ac:dyDescent="0.3">
      <c r="B944" s="39">
        <v>45886</v>
      </c>
      <c r="D944" s="36" t="s">
        <v>519</v>
      </c>
      <c r="E944" s="36" t="s">
        <v>642</v>
      </c>
      <c r="F944" s="36" t="s">
        <v>137</v>
      </c>
      <c r="L944" s="42">
        <v>-6.61</v>
      </c>
    </row>
    <row r="945" spans="2:12" ht="14.4" x14ac:dyDescent="0.3">
      <c r="B945" s="39">
        <v>45886</v>
      </c>
      <c r="D945" s="36" t="s">
        <v>519</v>
      </c>
      <c r="E945" s="36" t="s">
        <v>643</v>
      </c>
      <c r="F945" s="36" t="s">
        <v>137</v>
      </c>
      <c r="L945" s="42">
        <v>-1.0900000000000001</v>
      </c>
    </row>
    <row r="946" spans="2:12" ht="14.4" x14ac:dyDescent="0.3">
      <c r="B946" s="39">
        <v>45886</v>
      </c>
      <c r="D946" s="36" t="s">
        <v>519</v>
      </c>
      <c r="E946" s="36" t="s">
        <v>644</v>
      </c>
      <c r="F946" s="36" t="s">
        <v>137</v>
      </c>
      <c r="L946" s="42">
        <v>-2.7</v>
      </c>
    </row>
    <row r="947" spans="2:12" ht="14.4" x14ac:dyDescent="0.3">
      <c r="B947" s="39">
        <v>45886</v>
      </c>
      <c r="D947" s="36" t="s">
        <v>519</v>
      </c>
      <c r="E947" s="36" t="s">
        <v>645</v>
      </c>
      <c r="F947" s="36" t="s">
        <v>137</v>
      </c>
      <c r="L947" s="42">
        <v>-2.3199999999999998</v>
      </c>
    </row>
    <row r="948" spans="2:12" ht="14.4" x14ac:dyDescent="0.3">
      <c r="B948" s="39">
        <v>45886</v>
      </c>
      <c r="D948" s="36" t="s">
        <v>519</v>
      </c>
      <c r="E948" s="36" t="s">
        <v>646</v>
      </c>
      <c r="F948" s="36" t="s">
        <v>137</v>
      </c>
      <c r="L948" s="42">
        <v>-5.08</v>
      </c>
    </row>
    <row r="949" spans="2:12" ht="14.4" x14ac:dyDescent="0.3">
      <c r="B949" s="39">
        <v>45886</v>
      </c>
      <c r="D949" s="36" t="s">
        <v>519</v>
      </c>
      <c r="E949" s="36" t="s">
        <v>647</v>
      </c>
      <c r="F949" s="36" t="s">
        <v>137</v>
      </c>
      <c r="L949" s="42">
        <v>-1.56</v>
      </c>
    </row>
    <row r="950" spans="2:12" ht="14.4" x14ac:dyDescent="0.3">
      <c r="B950" s="39">
        <v>45886</v>
      </c>
      <c r="D950" s="36" t="s">
        <v>519</v>
      </c>
      <c r="E950" s="36" t="s">
        <v>648</v>
      </c>
      <c r="F950" s="36" t="s">
        <v>137</v>
      </c>
      <c r="L950" s="42">
        <v>-3.15</v>
      </c>
    </row>
    <row r="951" spans="2:12" ht="14.4" x14ac:dyDescent="0.3">
      <c r="B951" s="39">
        <v>45886</v>
      </c>
      <c r="D951" s="36" t="s">
        <v>519</v>
      </c>
      <c r="E951" s="36" t="s">
        <v>649</v>
      </c>
      <c r="F951" s="36" t="s">
        <v>137</v>
      </c>
      <c r="L951" s="42">
        <v>-1.56</v>
      </c>
    </row>
    <row r="952" spans="2:12" ht="14.4" x14ac:dyDescent="0.3">
      <c r="B952" s="39">
        <v>45886</v>
      </c>
      <c r="D952" s="36" t="s">
        <v>519</v>
      </c>
      <c r="E952" s="36" t="s">
        <v>650</v>
      </c>
      <c r="F952" s="36" t="s">
        <v>137</v>
      </c>
      <c r="L952" s="42">
        <v>-2.1</v>
      </c>
    </row>
    <row r="953" spans="2:12" ht="14.4" x14ac:dyDescent="0.3">
      <c r="B953" s="39">
        <v>45886</v>
      </c>
      <c r="D953" s="36" t="s">
        <v>519</v>
      </c>
      <c r="E953" s="36" t="s">
        <v>651</v>
      </c>
      <c r="F953" s="36" t="s">
        <v>137</v>
      </c>
      <c r="L953" s="42">
        <v>-1.56</v>
      </c>
    </row>
    <row r="954" spans="2:12" ht="14.4" x14ac:dyDescent="0.3">
      <c r="B954" s="39">
        <v>45886</v>
      </c>
      <c r="D954" s="36" t="s">
        <v>519</v>
      </c>
      <c r="E954" s="36" t="s">
        <v>652</v>
      </c>
      <c r="F954" s="36" t="s">
        <v>137</v>
      </c>
      <c r="L954" s="42">
        <v>-5.63</v>
      </c>
    </row>
    <row r="955" spans="2:12" ht="14.4" x14ac:dyDescent="0.3">
      <c r="B955" s="39">
        <v>45886</v>
      </c>
      <c r="D955" s="36" t="s">
        <v>355</v>
      </c>
      <c r="E955" s="36" t="s">
        <v>653</v>
      </c>
      <c r="F955" s="36" t="s">
        <v>137</v>
      </c>
      <c r="L955" s="42">
        <v>-3.71</v>
      </c>
    </row>
    <row r="956" spans="2:12" ht="14.4" x14ac:dyDescent="0.3">
      <c r="B956" s="39">
        <v>45886</v>
      </c>
      <c r="D956" s="36" t="s">
        <v>519</v>
      </c>
      <c r="E956" s="36" t="s">
        <v>654</v>
      </c>
      <c r="F956" s="36" t="s">
        <v>137</v>
      </c>
      <c r="L956" s="42">
        <v>-2</v>
      </c>
    </row>
    <row r="957" spans="2:12" ht="14.4" x14ac:dyDescent="0.3">
      <c r="B957" s="39">
        <v>45886</v>
      </c>
      <c r="D957" s="36" t="s">
        <v>519</v>
      </c>
      <c r="E957" s="36" t="s">
        <v>655</v>
      </c>
      <c r="F957" s="36" t="s">
        <v>137</v>
      </c>
      <c r="L957" s="42">
        <v>-6</v>
      </c>
    </row>
    <row r="958" spans="2:12" ht="14.4" x14ac:dyDescent="0.3">
      <c r="B958" s="39">
        <v>45886</v>
      </c>
      <c r="D958" s="36" t="s">
        <v>519</v>
      </c>
      <c r="E958" s="36" t="s">
        <v>656</v>
      </c>
      <c r="F958" s="36" t="s">
        <v>137</v>
      </c>
      <c r="L958" s="42">
        <v>-5</v>
      </c>
    </row>
    <row r="959" spans="2:12" ht="14.4" x14ac:dyDescent="0.3">
      <c r="B959" s="39">
        <v>45886</v>
      </c>
      <c r="D959" s="36" t="s">
        <v>519</v>
      </c>
      <c r="E959" s="36" t="s">
        <v>657</v>
      </c>
      <c r="F959" s="36" t="s">
        <v>137</v>
      </c>
      <c r="L959" s="42">
        <v>-2</v>
      </c>
    </row>
    <row r="960" spans="2:12" ht="14.4" x14ac:dyDescent="0.3">
      <c r="B960" s="39">
        <v>45886</v>
      </c>
      <c r="D960" s="36" t="s">
        <v>519</v>
      </c>
      <c r="E960" s="36" t="s">
        <v>658</v>
      </c>
      <c r="F960" s="36" t="s">
        <v>137</v>
      </c>
      <c r="L960" s="42">
        <v>-4</v>
      </c>
    </row>
    <row r="961" spans="2:12" ht="14.4" x14ac:dyDescent="0.3">
      <c r="B961" s="39">
        <v>45886</v>
      </c>
      <c r="D961" s="36" t="s">
        <v>519</v>
      </c>
      <c r="E961" s="36" t="s">
        <v>659</v>
      </c>
      <c r="F961" s="36" t="s">
        <v>137</v>
      </c>
      <c r="L961" s="42">
        <v>-1.59</v>
      </c>
    </row>
    <row r="962" spans="2:12" ht="14.4" x14ac:dyDescent="0.3">
      <c r="B962" s="39">
        <v>45886</v>
      </c>
      <c r="D962" s="36" t="s">
        <v>519</v>
      </c>
      <c r="E962" s="36" t="s">
        <v>660</v>
      </c>
      <c r="F962" s="36" t="s">
        <v>137</v>
      </c>
      <c r="L962" s="42">
        <v>-1.3</v>
      </c>
    </row>
    <row r="963" spans="2:12" ht="14.4" x14ac:dyDescent="0.3">
      <c r="B963" s="39">
        <v>45886</v>
      </c>
      <c r="D963" s="36" t="s">
        <v>519</v>
      </c>
      <c r="E963" s="36" t="s">
        <v>661</v>
      </c>
      <c r="F963" s="36" t="s">
        <v>137</v>
      </c>
      <c r="L963" s="42">
        <v>-1</v>
      </c>
    </row>
    <row r="964" spans="2:12" ht="14.4" x14ac:dyDescent="0.3">
      <c r="B964" s="39">
        <v>45887</v>
      </c>
      <c r="D964" s="36" t="s">
        <v>355</v>
      </c>
      <c r="E964" s="36" t="s">
        <v>662</v>
      </c>
      <c r="F964" s="36" t="s">
        <v>137</v>
      </c>
      <c r="L964" s="42">
        <v>-60</v>
      </c>
    </row>
    <row r="965" spans="2:12" ht="14.4" x14ac:dyDescent="0.3">
      <c r="B965" s="39">
        <v>45887</v>
      </c>
      <c r="D965" s="36" t="s">
        <v>519</v>
      </c>
      <c r="E965" s="36" t="s">
        <v>663</v>
      </c>
      <c r="F965" s="36" t="s">
        <v>137</v>
      </c>
      <c r="L965" s="42">
        <v>-5.48</v>
      </c>
    </row>
    <row r="966" spans="2:12" ht="14.4" x14ac:dyDescent="0.3">
      <c r="B966" s="39">
        <v>45887</v>
      </c>
      <c r="D966" s="36" t="s">
        <v>519</v>
      </c>
      <c r="E966" s="36" t="s">
        <v>664</v>
      </c>
      <c r="F966" s="36" t="s">
        <v>137</v>
      </c>
      <c r="L966" s="42">
        <v>-5.57</v>
      </c>
    </row>
    <row r="967" spans="2:12" ht="14.4" x14ac:dyDescent="0.3">
      <c r="B967" s="39">
        <v>45887</v>
      </c>
      <c r="D967" s="36" t="s">
        <v>519</v>
      </c>
      <c r="E967" s="36" t="s">
        <v>665</v>
      </c>
      <c r="F967" s="36" t="s">
        <v>137</v>
      </c>
      <c r="L967" s="42">
        <v>-40</v>
      </c>
    </row>
    <row r="968" spans="2:12" ht="14.4" x14ac:dyDescent="0.3">
      <c r="B968" s="39">
        <v>45887</v>
      </c>
      <c r="D968" s="36" t="s">
        <v>519</v>
      </c>
      <c r="E968" s="36" t="s">
        <v>666</v>
      </c>
      <c r="F968" s="36" t="s">
        <v>137</v>
      </c>
      <c r="L968" s="42">
        <v>-60</v>
      </c>
    </row>
    <row r="969" spans="2:12" ht="14.4" x14ac:dyDescent="0.3">
      <c r="B969" s="39">
        <v>45887</v>
      </c>
      <c r="D969" s="36" t="s">
        <v>519</v>
      </c>
      <c r="E969" s="36" t="s">
        <v>667</v>
      </c>
      <c r="F969" s="36" t="s">
        <v>137</v>
      </c>
      <c r="L969" s="42">
        <v>-34</v>
      </c>
    </row>
    <row r="970" spans="2:12" ht="14.4" x14ac:dyDescent="0.3">
      <c r="B970" s="39">
        <v>45887</v>
      </c>
      <c r="D970" s="36" t="s">
        <v>519</v>
      </c>
      <c r="E970" s="36" t="s">
        <v>668</v>
      </c>
      <c r="F970" s="36" t="s">
        <v>137</v>
      </c>
      <c r="L970" s="42">
        <v>-28</v>
      </c>
    </row>
    <row r="971" spans="2:12" ht="14.4" x14ac:dyDescent="0.3">
      <c r="B971" s="39">
        <v>45887</v>
      </c>
      <c r="D971" s="36" t="s">
        <v>519</v>
      </c>
      <c r="E971" s="36" t="s">
        <v>669</v>
      </c>
      <c r="F971" s="36" t="s">
        <v>137</v>
      </c>
      <c r="L971" s="42">
        <v>-37</v>
      </c>
    </row>
    <row r="972" spans="2:12" ht="14.4" x14ac:dyDescent="0.3">
      <c r="B972" s="39">
        <v>45887</v>
      </c>
      <c r="D972" s="36" t="s">
        <v>519</v>
      </c>
      <c r="E972" s="36" t="s">
        <v>670</v>
      </c>
      <c r="F972" s="36" t="s">
        <v>137</v>
      </c>
      <c r="L972" s="42">
        <v>-43</v>
      </c>
    </row>
    <row r="973" spans="2:12" ht="14.4" x14ac:dyDescent="0.3">
      <c r="B973" s="39">
        <v>45887</v>
      </c>
      <c r="D973" s="36" t="s">
        <v>519</v>
      </c>
      <c r="E973" s="36" t="s">
        <v>671</v>
      </c>
      <c r="F973" s="36" t="s">
        <v>137</v>
      </c>
      <c r="L973" s="42">
        <v>-56</v>
      </c>
    </row>
    <row r="974" spans="2:12" ht="14.4" x14ac:dyDescent="0.3">
      <c r="B974" s="39">
        <v>45887</v>
      </c>
      <c r="D974" s="36" t="s">
        <v>519</v>
      </c>
      <c r="E974" s="36" t="s">
        <v>672</v>
      </c>
      <c r="F974" s="36" t="s">
        <v>137</v>
      </c>
      <c r="L974" s="42">
        <v>-31</v>
      </c>
    </row>
    <row r="975" spans="2:12" ht="14.4" x14ac:dyDescent="0.3">
      <c r="B975" s="39">
        <v>45887</v>
      </c>
      <c r="D975" s="36" t="s">
        <v>519</v>
      </c>
      <c r="E975" s="36" t="s">
        <v>673</v>
      </c>
      <c r="F975" s="36" t="s">
        <v>137</v>
      </c>
      <c r="L975" s="42">
        <v>-25</v>
      </c>
    </row>
    <row r="976" spans="2:12" ht="14.4" x14ac:dyDescent="0.3">
      <c r="B976" s="39">
        <v>45887</v>
      </c>
      <c r="D976" s="36" t="s">
        <v>519</v>
      </c>
      <c r="E976" s="36" t="s">
        <v>674</v>
      </c>
      <c r="F976" s="36" t="s">
        <v>137</v>
      </c>
      <c r="L976" s="42">
        <v>-52</v>
      </c>
    </row>
    <row r="977" spans="2:12" ht="14.4" x14ac:dyDescent="0.3">
      <c r="B977" s="39">
        <v>45887</v>
      </c>
      <c r="D977" s="36" t="s">
        <v>519</v>
      </c>
      <c r="E977" s="36" t="s">
        <v>675</v>
      </c>
      <c r="F977" s="36" t="s">
        <v>137</v>
      </c>
      <c r="L977" s="42">
        <v>-49</v>
      </c>
    </row>
    <row r="978" spans="2:12" ht="14.4" x14ac:dyDescent="0.3">
      <c r="B978" s="39">
        <v>45887</v>
      </c>
      <c r="D978" s="36" t="s">
        <v>519</v>
      </c>
      <c r="E978" s="36" t="s">
        <v>676</v>
      </c>
      <c r="F978" s="36" t="s">
        <v>137</v>
      </c>
      <c r="L978" s="42">
        <v>-5.82</v>
      </c>
    </row>
    <row r="979" spans="2:12" ht="14.4" x14ac:dyDescent="0.3">
      <c r="B979" s="39">
        <v>45887</v>
      </c>
      <c r="D979" s="36" t="s">
        <v>519</v>
      </c>
      <c r="E979" s="36" t="s">
        <v>677</v>
      </c>
      <c r="F979" s="36" t="s">
        <v>137</v>
      </c>
      <c r="L979" s="42">
        <v>-5.79</v>
      </c>
    </row>
    <row r="980" spans="2:12" ht="14.4" x14ac:dyDescent="0.3">
      <c r="B980" s="39">
        <v>45887</v>
      </c>
      <c r="D980" s="36" t="s">
        <v>519</v>
      </c>
      <c r="E980" s="36" t="s">
        <v>678</v>
      </c>
      <c r="F980" s="36" t="s">
        <v>137</v>
      </c>
      <c r="L980" s="42">
        <v>-46</v>
      </c>
    </row>
    <row r="981" spans="2:12" ht="14.4" x14ac:dyDescent="0.3">
      <c r="B981" s="39">
        <v>45887</v>
      </c>
      <c r="D981" s="36" t="s">
        <v>519</v>
      </c>
      <c r="E981" s="36" t="s">
        <v>679</v>
      </c>
      <c r="F981" s="36" t="s">
        <v>137</v>
      </c>
      <c r="L981" s="42">
        <v>-6.12</v>
      </c>
    </row>
    <row r="982" spans="2:12" ht="14.4" x14ac:dyDescent="0.3">
      <c r="B982" s="39">
        <v>45887</v>
      </c>
      <c r="D982" s="36" t="s">
        <v>519</v>
      </c>
      <c r="E982" s="36" t="s">
        <v>680</v>
      </c>
      <c r="F982" s="36" t="s">
        <v>137</v>
      </c>
      <c r="L982" s="42">
        <v>-9.17</v>
      </c>
    </row>
    <row r="983" spans="2:12" ht="14.4" x14ac:dyDescent="0.3">
      <c r="B983" s="39">
        <v>45887</v>
      </c>
      <c r="D983" s="36" t="s">
        <v>519</v>
      </c>
      <c r="E983" s="36" t="s">
        <v>681</v>
      </c>
      <c r="F983" s="36" t="s">
        <v>137</v>
      </c>
      <c r="L983" s="42">
        <v>-18</v>
      </c>
    </row>
    <row r="984" spans="2:12" ht="14.4" x14ac:dyDescent="0.3">
      <c r="B984" s="39">
        <v>45887</v>
      </c>
      <c r="D984" s="36" t="s">
        <v>519</v>
      </c>
      <c r="E984" s="36" t="s">
        <v>682</v>
      </c>
      <c r="F984" s="36" t="s">
        <v>137</v>
      </c>
      <c r="L984" s="42">
        <v>-20</v>
      </c>
    </row>
    <row r="985" spans="2:12" ht="14.4" x14ac:dyDescent="0.3">
      <c r="B985" s="39">
        <v>45887</v>
      </c>
      <c r="D985" s="36" t="s">
        <v>519</v>
      </c>
      <c r="E985" s="36" t="s">
        <v>683</v>
      </c>
      <c r="F985" s="36" t="s">
        <v>137</v>
      </c>
      <c r="L985" s="42">
        <v>-16</v>
      </c>
    </row>
    <row r="986" spans="2:12" ht="14.4" x14ac:dyDescent="0.3">
      <c r="B986" s="39">
        <v>45887</v>
      </c>
      <c r="D986" s="36" t="s">
        <v>519</v>
      </c>
      <c r="E986" s="36" t="s">
        <v>684</v>
      </c>
      <c r="F986" s="36" t="s">
        <v>137</v>
      </c>
      <c r="L986" s="42">
        <v>-22</v>
      </c>
    </row>
    <row r="987" spans="2:12" ht="14.4" x14ac:dyDescent="0.3">
      <c r="B987" s="39">
        <v>45887</v>
      </c>
      <c r="D987" s="36" t="s">
        <v>519</v>
      </c>
      <c r="E987" s="36" t="s">
        <v>685</v>
      </c>
      <c r="F987" s="36" t="s">
        <v>137</v>
      </c>
      <c r="L987" s="42">
        <v>-14</v>
      </c>
    </row>
    <row r="988" spans="2:12" ht="14.4" x14ac:dyDescent="0.3">
      <c r="B988" s="39">
        <v>45887</v>
      </c>
      <c r="D988" s="36" t="s">
        <v>519</v>
      </c>
      <c r="E988" s="36" t="s">
        <v>686</v>
      </c>
      <c r="F988" s="36" t="s">
        <v>137</v>
      </c>
      <c r="L988" s="42">
        <v>-3.23</v>
      </c>
    </row>
    <row r="989" spans="2:12" ht="14.4" x14ac:dyDescent="0.3">
      <c r="B989" s="39">
        <v>45887</v>
      </c>
      <c r="D989" s="36" t="s">
        <v>519</v>
      </c>
      <c r="E989" s="36" t="s">
        <v>687</v>
      </c>
      <c r="F989" s="36" t="s">
        <v>137</v>
      </c>
      <c r="L989" s="42">
        <v>-5.25</v>
      </c>
    </row>
    <row r="990" spans="2:12" ht="14.4" x14ac:dyDescent="0.3">
      <c r="B990" s="39">
        <v>45887</v>
      </c>
      <c r="D990" s="36" t="s">
        <v>519</v>
      </c>
      <c r="E990" s="36" t="s">
        <v>688</v>
      </c>
      <c r="F990" s="36" t="s">
        <v>137</v>
      </c>
      <c r="L990" s="42">
        <v>-1.51</v>
      </c>
    </row>
    <row r="991" spans="2:12" ht="14.4" x14ac:dyDescent="0.3">
      <c r="B991" s="39">
        <v>45887</v>
      </c>
      <c r="D991" s="36" t="s">
        <v>519</v>
      </c>
      <c r="E991" s="36" t="s">
        <v>689</v>
      </c>
      <c r="F991" s="36" t="s">
        <v>137</v>
      </c>
      <c r="L991" s="42">
        <v>-4.18</v>
      </c>
    </row>
    <row r="992" spans="2:12" ht="14.4" x14ac:dyDescent="0.3">
      <c r="B992" s="39">
        <v>45887</v>
      </c>
      <c r="D992" s="36" t="s">
        <v>519</v>
      </c>
      <c r="E992" s="36" t="s">
        <v>690</v>
      </c>
      <c r="F992" s="36" t="s">
        <v>137</v>
      </c>
      <c r="L992" s="42">
        <v>-7.11</v>
      </c>
    </row>
    <row r="993" spans="2:12" ht="14.4" x14ac:dyDescent="0.3">
      <c r="B993" s="39">
        <v>45887</v>
      </c>
      <c r="D993" s="36" t="s">
        <v>519</v>
      </c>
      <c r="E993" s="36" t="s">
        <v>691</v>
      </c>
      <c r="F993" s="36" t="s">
        <v>137</v>
      </c>
      <c r="L993" s="42">
        <v>-3.74</v>
      </c>
    </row>
    <row r="994" spans="2:12" ht="14.4" x14ac:dyDescent="0.3">
      <c r="B994" s="39">
        <v>45887</v>
      </c>
      <c r="D994" s="36" t="s">
        <v>519</v>
      </c>
      <c r="E994" s="36" t="s">
        <v>692</v>
      </c>
      <c r="F994" s="36" t="s">
        <v>137</v>
      </c>
      <c r="L994" s="42">
        <v>-4.7</v>
      </c>
    </row>
    <row r="995" spans="2:12" ht="14.4" x14ac:dyDescent="0.3">
      <c r="B995" s="39">
        <v>45887</v>
      </c>
      <c r="D995" s="36" t="s">
        <v>519</v>
      </c>
      <c r="E995" s="36" t="s">
        <v>693</v>
      </c>
      <c r="F995" s="36" t="s">
        <v>137</v>
      </c>
      <c r="L995" s="42">
        <v>-4.3600000000000003</v>
      </c>
    </row>
    <row r="996" spans="2:12" ht="14.4" x14ac:dyDescent="0.3">
      <c r="B996" s="39">
        <v>45887</v>
      </c>
      <c r="D996" s="36" t="s">
        <v>519</v>
      </c>
      <c r="E996" s="36" t="s">
        <v>694</v>
      </c>
      <c r="F996" s="36" t="s">
        <v>137</v>
      </c>
      <c r="L996" s="42">
        <v>-5.68</v>
      </c>
    </row>
    <row r="997" spans="2:12" ht="14.4" x14ac:dyDescent="0.3">
      <c r="B997" s="39">
        <v>45887</v>
      </c>
      <c r="D997" s="36" t="s">
        <v>519</v>
      </c>
      <c r="E997" s="36" t="s">
        <v>695</v>
      </c>
      <c r="F997" s="36" t="s">
        <v>137</v>
      </c>
      <c r="L997" s="42">
        <v>-14</v>
      </c>
    </row>
    <row r="998" spans="2:12" ht="14.4" x14ac:dyDescent="0.3">
      <c r="B998" s="39">
        <v>45887</v>
      </c>
      <c r="D998" s="36" t="s">
        <v>519</v>
      </c>
      <c r="E998" s="36" t="s">
        <v>696</v>
      </c>
      <c r="F998" s="36" t="s">
        <v>137</v>
      </c>
      <c r="L998" s="42">
        <v>-14</v>
      </c>
    </row>
    <row r="999" spans="2:12" ht="14.4" x14ac:dyDescent="0.3">
      <c r="B999" s="39">
        <v>45887</v>
      </c>
      <c r="D999" s="36" t="s">
        <v>519</v>
      </c>
      <c r="E999" s="36" t="s">
        <v>697</v>
      </c>
      <c r="F999" s="36" t="s">
        <v>137</v>
      </c>
      <c r="L999" s="42">
        <v>-14</v>
      </c>
    </row>
    <row r="1000" spans="2:12" ht="14.4" x14ac:dyDescent="0.3">
      <c r="B1000" s="39">
        <v>45887</v>
      </c>
      <c r="D1000" s="36" t="s">
        <v>519</v>
      </c>
      <c r="E1000" s="36" t="s">
        <v>698</v>
      </c>
      <c r="F1000" s="36" t="s">
        <v>137</v>
      </c>
      <c r="L1000" s="42">
        <v>-14</v>
      </c>
    </row>
    <row r="1001" spans="2:12" ht="14.4" x14ac:dyDescent="0.3">
      <c r="B1001" s="39">
        <v>45887</v>
      </c>
      <c r="D1001" s="36" t="s">
        <v>519</v>
      </c>
      <c r="E1001" s="36" t="s">
        <v>699</v>
      </c>
      <c r="F1001" s="36" t="s">
        <v>137</v>
      </c>
      <c r="L1001" s="42">
        <v>-3.52</v>
      </c>
    </row>
    <row r="1002" spans="2:12" ht="14.4" x14ac:dyDescent="0.3">
      <c r="B1002" s="39">
        <v>45887</v>
      </c>
      <c r="D1002" s="36" t="s">
        <v>519</v>
      </c>
      <c r="E1002" s="36" t="s">
        <v>700</v>
      </c>
      <c r="F1002" s="36" t="s">
        <v>137</v>
      </c>
      <c r="L1002" s="42">
        <v>-4.55</v>
      </c>
    </row>
    <row r="1003" spans="2:12" ht="14.4" x14ac:dyDescent="0.3">
      <c r="B1003" s="39">
        <v>45887</v>
      </c>
      <c r="D1003" s="36" t="s">
        <v>519</v>
      </c>
      <c r="E1003" s="36" t="s">
        <v>264</v>
      </c>
      <c r="F1003" s="36" t="s">
        <v>121</v>
      </c>
      <c r="L1003" s="42">
        <v>-20</v>
      </c>
    </row>
    <row r="1004" spans="2:12" ht="14.4" x14ac:dyDescent="0.3">
      <c r="B1004" s="39">
        <v>45887</v>
      </c>
      <c r="D1004" s="36" t="s">
        <v>519</v>
      </c>
      <c r="E1004" s="36" t="s">
        <v>284</v>
      </c>
      <c r="F1004" s="36" t="s">
        <v>72</v>
      </c>
      <c r="L1004" s="42">
        <v>-20</v>
      </c>
    </row>
    <row r="1005" spans="2:12" ht="14.4" x14ac:dyDescent="0.3">
      <c r="B1005" s="39">
        <v>45888</v>
      </c>
      <c r="D1005" s="36" t="s">
        <v>519</v>
      </c>
      <c r="E1005" s="36" t="s">
        <v>701</v>
      </c>
      <c r="F1005" s="36" t="s">
        <v>137</v>
      </c>
      <c r="L1005" s="42">
        <v>-103</v>
      </c>
    </row>
    <row r="1006" spans="2:12" ht="14.4" x14ac:dyDescent="0.3">
      <c r="B1006" s="39">
        <v>45888</v>
      </c>
      <c r="D1006" s="36" t="s">
        <v>519</v>
      </c>
      <c r="E1006" s="36" t="s">
        <v>702</v>
      </c>
      <c r="F1006" s="36" t="s">
        <v>137</v>
      </c>
      <c r="L1006" s="42">
        <v>-10.19</v>
      </c>
    </row>
    <row r="1007" spans="2:12" ht="14.4" x14ac:dyDescent="0.3">
      <c r="B1007" s="39">
        <v>45888</v>
      </c>
      <c r="D1007" s="36" t="s">
        <v>519</v>
      </c>
      <c r="E1007" s="36" t="s">
        <v>703</v>
      </c>
      <c r="F1007" s="36" t="s">
        <v>137</v>
      </c>
      <c r="L1007" s="42">
        <v>-13.81</v>
      </c>
    </row>
    <row r="1008" spans="2:12" ht="14.4" x14ac:dyDescent="0.3">
      <c r="B1008" s="39">
        <v>45888</v>
      </c>
      <c r="D1008" s="36" t="s">
        <v>519</v>
      </c>
      <c r="E1008" s="36" t="s">
        <v>704</v>
      </c>
      <c r="F1008" s="36" t="s">
        <v>137</v>
      </c>
      <c r="L1008" s="42">
        <v>-84</v>
      </c>
    </row>
    <row r="1009" spans="2:12" ht="14.4" x14ac:dyDescent="0.3">
      <c r="B1009" s="39">
        <v>45888</v>
      </c>
      <c r="D1009" s="36" t="s">
        <v>519</v>
      </c>
      <c r="E1009" s="36" t="s">
        <v>705</v>
      </c>
      <c r="F1009" s="36" t="s">
        <v>137</v>
      </c>
      <c r="L1009" s="42">
        <v>-78</v>
      </c>
    </row>
    <row r="1010" spans="2:12" ht="14.4" x14ac:dyDescent="0.3">
      <c r="B1010" s="39">
        <v>45888</v>
      </c>
      <c r="D1010" s="36" t="s">
        <v>355</v>
      </c>
      <c r="E1010" s="36" t="s">
        <v>706</v>
      </c>
      <c r="F1010" s="36" t="s">
        <v>137</v>
      </c>
      <c r="L1010" s="42">
        <v>-60</v>
      </c>
    </row>
    <row r="1011" spans="2:12" ht="14.4" x14ac:dyDescent="0.3">
      <c r="B1011" s="39">
        <v>45888</v>
      </c>
      <c r="D1011" s="36" t="s">
        <v>519</v>
      </c>
      <c r="E1011" s="36" t="s">
        <v>707</v>
      </c>
      <c r="F1011" s="36" t="s">
        <v>137</v>
      </c>
      <c r="L1011" s="42">
        <v>-96</v>
      </c>
    </row>
    <row r="1012" spans="2:12" ht="14.4" x14ac:dyDescent="0.3">
      <c r="B1012" s="39">
        <v>45888</v>
      </c>
      <c r="D1012" s="36" t="s">
        <v>519</v>
      </c>
      <c r="E1012" s="36" t="s">
        <v>708</v>
      </c>
      <c r="F1012" s="36" t="s">
        <v>137</v>
      </c>
      <c r="L1012" s="42">
        <v>-90</v>
      </c>
    </row>
    <row r="1013" spans="2:12" ht="14.4" x14ac:dyDescent="0.3">
      <c r="B1013" s="39">
        <v>45888</v>
      </c>
      <c r="D1013" s="36" t="s">
        <v>519</v>
      </c>
      <c r="E1013" s="36" t="s">
        <v>709</v>
      </c>
      <c r="F1013" s="36" t="s">
        <v>137</v>
      </c>
      <c r="L1013" s="42">
        <v>-7.62</v>
      </c>
    </row>
    <row r="1014" spans="2:12" ht="14.4" x14ac:dyDescent="0.3">
      <c r="B1014" s="39">
        <v>45888</v>
      </c>
      <c r="D1014" s="36" t="s">
        <v>519</v>
      </c>
      <c r="E1014" s="36" t="s">
        <v>710</v>
      </c>
      <c r="F1014" s="36" t="s">
        <v>137</v>
      </c>
      <c r="L1014" s="42">
        <v>-8.75</v>
      </c>
    </row>
    <row r="1015" spans="2:12" ht="14.4" x14ac:dyDescent="0.3">
      <c r="B1015" s="39">
        <v>45888</v>
      </c>
      <c r="D1015" s="36" t="s">
        <v>519</v>
      </c>
      <c r="E1015" s="36" t="s">
        <v>711</v>
      </c>
      <c r="F1015" s="36" t="s">
        <v>137</v>
      </c>
      <c r="L1015" s="42">
        <v>-9.94</v>
      </c>
    </row>
    <row r="1016" spans="2:12" ht="14.4" x14ac:dyDescent="0.3">
      <c r="B1016" s="39">
        <v>45888</v>
      </c>
      <c r="D1016" s="36" t="s">
        <v>519</v>
      </c>
      <c r="E1016" s="36" t="s">
        <v>712</v>
      </c>
      <c r="F1016" s="36" t="s">
        <v>137</v>
      </c>
      <c r="L1016" s="42">
        <v>-72</v>
      </c>
    </row>
    <row r="1017" spans="2:12" ht="14.4" x14ac:dyDescent="0.3">
      <c r="B1017" s="39">
        <v>45888</v>
      </c>
      <c r="D1017" s="36" t="s">
        <v>519</v>
      </c>
      <c r="E1017" s="36" t="s">
        <v>713</v>
      </c>
      <c r="F1017" s="36" t="s">
        <v>137</v>
      </c>
      <c r="L1017" s="42">
        <v>-5.78</v>
      </c>
    </row>
    <row r="1018" spans="2:12" ht="14.4" x14ac:dyDescent="0.3">
      <c r="B1018" s="39">
        <v>45888</v>
      </c>
      <c r="D1018" s="36" t="s">
        <v>519</v>
      </c>
      <c r="E1018" s="36" t="s">
        <v>714</v>
      </c>
      <c r="F1018" s="36" t="s">
        <v>137</v>
      </c>
      <c r="L1018" s="42">
        <v>-64</v>
      </c>
    </row>
    <row r="1019" spans="2:12" ht="14.4" x14ac:dyDescent="0.3">
      <c r="B1019" s="39">
        <v>45888</v>
      </c>
      <c r="D1019" s="36" t="s">
        <v>519</v>
      </c>
      <c r="E1019" s="36" t="s">
        <v>715</v>
      </c>
      <c r="F1019" s="36" t="s">
        <v>137</v>
      </c>
      <c r="L1019" s="42">
        <v>-68</v>
      </c>
    </row>
    <row r="1020" spans="2:12" ht="14.4" x14ac:dyDescent="0.3">
      <c r="B1020" s="39">
        <v>45888</v>
      </c>
      <c r="D1020" s="36" t="s">
        <v>519</v>
      </c>
      <c r="E1020" s="36" t="s">
        <v>716</v>
      </c>
      <c r="F1020" s="36" t="s">
        <v>137</v>
      </c>
      <c r="L1020" s="42">
        <v>-6.68</v>
      </c>
    </row>
    <row r="1021" spans="2:12" ht="14.4" x14ac:dyDescent="0.3">
      <c r="B1021" s="39">
        <v>45888</v>
      </c>
      <c r="D1021" s="36" t="s">
        <v>519</v>
      </c>
      <c r="E1021" s="36" t="s">
        <v>717</v>
      </c>
      <c r="F1021" s="36" t="s">
        <v>137</v>
      </c>
      <c r="L1021" s="42">
        <v>-4.59</v>
      </c>
    </row>
    <row r="1022" spans="2:12" ht="14.4" x14ac:dyDescent="0.3">
      <c r="B1022" s="39">
        <v>45888</v>
      </c>
      <c r="D1022" s="36" t="s">
        <v>57</v>
      </c>
      <c r="E1022" s="36" t="s">
        <v>772</v>
      </c>
      <c r="F1022" s="36" t="s">
        <v>70</v>
      </c>
      <c r="L1022" s="42">
        <v>-13.1</v>
      </c>
    </row>
    <row r="1023" spans="2:12" ht="14.4" x14ac:dyDescent="0.3">
      <c r="B1023" s="39">
        <v>45888</v>
      </c>
      <c r="D1023" s="36" t="s">
        <v>57</v>
      </c>
      <c r="E1023" s="36" t="s">
        <v>770</v>
      </c>
      <c r="F1023" s="36" t="s">
        <v>282</v>
      </c>
      <c r="L1023" s="42">
        <v>-61.55</v>
      </c>
    </row>
    <row r="1024" spans="2:12" ht="14.4" x14ac:dyDescent="0.3">
      <c r="B1024" s="39">
        <v>45889</v>
      </c>
      <c r="D1024" s="36" t="s">
        <v>519</v>
      </c>
      <c r="E1024" s="36" t="s">
        <v>718</v>
      </c>
      <c r="F1024" s="36" t="s">
        <v>137</v>
      </c>
      <c r="L1024" s="42">
        <v>-8.98</v>
      </c>
    </row>
    <row r="1025" spans="2:12" ht="14.4" x14ac:dyDescent="0.3">
      <c r="B1025" s="39">
        <v>45889</v>
      </c>
      <c r="D1025" s="36" t="s">
        <v>519</v>
      </c>
      <c r="E1025" s="36" t="s">
        <v>719</v>
      </c>
      <c r="F1025" s="36" t="s">
        <v>137</v>
      </c>
      <c r="L1025" s="42">
        <v>-140</v>
      </c>
    </row>
    <row r="1026" spans="2:12" ht="14.4" x14ac:dyDescent="0.3">
      <c r="B1026" s="39">
        <v>45889</v>
      </c>
      <c r="D1026" s="36" t="s">
        <v>519</v>
      </c>
      <c r="E1026" s="36" t="s">
        <v>720</v>
      </c>
      <c r="F1026" s="36" t="s">
        <v>137</v>
      </c>
      <c r="L1026" s="42">
        <v>-158</v>
      </c>
    </row>
    <row r="1027" spans="2:12" ht="14.4" x14ac:dyDescent="0.3">
      <c r="B1027" s="39">
        <v>45889</v>
      </c>
      <c r="D1027" s="36" t="s">
        <v>519</v>
      </c>
      <c r="E1027" s="36" t="s">
        <v>721</v>
      </c>
      <c r="F1027" s="36" t="s">
        <v>137</v>
      </c>
      <c r="L1027" s="42">
        <v>-149</v>
      </c>
    </row>
    <row r="1028" spans="2:12" ht="14.4" x14ac:dyDescent="0.3">
      <c r="B1028" s="39">
        <v>45889</v>
      </c>
      <c r="D1028" s="36" t="s">
        <v>519</v>
      </c>
      <c r="E1028" s="36" t="s">
        <v>722</v>
      </c>
      <c r="F1028" s="36" t="s">
        <v>137</v>
      </c>
      <c r="L1028" s="42">
        <v>-131</v>
      </c>
    </row>
    <row r="1029" spans="2:12" ht="14.4" x14ac:dyDescent="0.3">
      <c r="B1029" s="39">
        <v>45889</v>
      </c>
      <c r="D1029" s="36" t="s">
        <v>519</v>
      </c>
      <c r="E1029" s="36" t="s">
        <v>723</v>
      </c>
      <c r="F1029" s="36" t="s">
        <v>137</v>
      </c>
      <c r="L1029" s="42">
        <v>-12.76</v>
      </c>
    </row>
    <row r="1030" spans="2:12" ht="14.4" x14ac:dyDescent="0.3">
      <c r="B1030" s="39">
        <v>45889</v>
      </c>
      <c r="D1030" s="36" t="s">
        <v>519</v>
      </c>
      <c r="E1030" s="36" t="s">
        <v>724</v>
      </c>
      <c r="F1030" s="36" t="s">
        <v>137</v>
      </c>
      <c r="L1030" s="42">
        <v>-19.010000000000002</v>
      </c>
    </row>
    <row r="1031" spans="2:12" ht="14.4" x14ac:dyDescent="0.3">
      <c r="B1031" s="39">
        <v>45889</v>
      </c>
      <c r="D1031" s="36" t="s">
        <v>519</v>
      </c>
      <c r="E1031" s="36" t="s">
        <v>725</v>
      </c>
      <c r="F1031" s="36" t="s">
        <v>137</v>
      </c>
      <c r="L1031" s="42">
        <v>-11.76</v>
      </c>
    </row>
    <row r="1032" spans="2:12" ht="14.4" x14ac:dyDescent="0.3">
      <c r="B1032" s="39">
        <v>45889</v>
      </c>
      <c r="D1032" s="36" t="s">
        <v>519</v>
      </c>
      <c r="E1032" s="36" t="s">
        <v>726</v>
      </c>
      <c r="F1032" s="36" t="s">
        <v>137</v>
      </c>
      <c r="L1032" s="42">
        <v>-124</v>
      </c>
    </row>
    <row r="1033" spans="2:12" ht="14.4" x14ac:dyDescent="0.3">
      <c r="B1033" s="39">
        <v>45889</v>
      </c>
      <c r="D1033" s="36" t="s">
        <v>519</v>
      </c>
      <c r="E1033" s="36" t="s">
        <v>727</v>
      </c>
      <c r="F1033" s="36" t="s">
        <v>137</v>
      </c>
      <c r="L1033" s="42">
        <v>-176.6</v>
      </c>
    </row>
    <row r="1034" spans="2:12" ht="14.4" x14ac:dyDescent="0.3">
      <c r="B1034" s="39">
        <v>45889</v>
      </c>
      <c r="D1034" s="36" t="s">
        <v>519</v>
      </c>
      <c r="E1034" s="36" t="s">
        <v>728</v>
      </c>
      <c r="F1034" s="36" t="s">
        <v>137</v>
      </c>
      <c r="L1034" s="42">
        <v>-117</v>
      </c>
    </row>
    <row r="1035" spans="2:12" ht="14.4" x14ac:dyDescent="0.3">
      <c r="B1035" s="39">
        <v>45889</v>
      </c>
      <c r="D1035" s="36" t="s">
        <v>519</v>
      </c>
      <c r="E1035" s="36" t="s">
        <v>729</v>
      </c>
      <c r="F1035" s="36" t="s">
        <v>137</v>
      </c>
      <c r="L1035" s="42">
        <v>-110</v>
      </c>
    </row>
    <row r="1036" spans="2:12" ht="14.4" x14ac:dyDescent="0.3">
      <c r="B1036" s="39">
        <v>45889</v>
      </c>
      <c r="D1036" s="36" t="s">
        <v>519</v>
      </c>
      <c r="E1036" s="36" t="s">
        <v>730</v>
      </c>
      <c r="F1036" s="36" t="s">
        <v>137</v>
      </c>
      <c r="L1036" s="42">
        <v>-4.63</v>
      </c>
    </row>
    <row r="1037" spans="2:12" ht="14.4" x14ac:dyDescent="0.3">
      <c r="B1037" s="39">
        <v>45889</v>
      </c>
      <c r="D1037" s="36" t="s">
        <v>519</v>
      </c>
      <c r="E1037" s="36" t="s">
        <v>731</v>
      </c>
      <c r="F1037" s="36" t="s">
        <v>137</v>
      </c>
      <c r="L1037" s="42">
        <v>-20.97</v>
      </c>
    </row>
    <row r="1038" spans="2:12" ht="14.4" x14ac:dyDescent="0.3">
      <c r="B1038" s="39">
        <v>45889</v>
      </c>
      <c r="D1038" s="36" t="s">
        <v>519</v>
      </c>
      <c r="E1038" s="36" t="s">
        <v>732</v>
      </c>
      <c r="F1038" s="36" t="s">
        <v>137</v>
      </c>
      <c r="L1038" s="42">
        <v>-9.56</v>
      </c>
    </row>
    <row r="1039" spans="2:12" ht="14.4" x14ac:dyDescent="0.3">
      <c r="B1039" s="39">
        <v>45889</v>
      </c>
      <c r="D1039" s="36" t="s">
        <v>519</v>
      </c>
      <c r="E1039" s="36" t="s">
        <v>733</v>
      </c>
      <c r="F1039" s="36" t="s">
        <v>137</v>
      </c>
      <c r="L1039" s="42">
        <v>-15.29</v>
      </c>
    </row>
    <row r="1040" spans="2:12" ht="14.4" x14ac:dyDescent="0.3">
      <c r="B1040" s="39">
        <v>45889</v>
      </c>
      <c r="D1040" s="36" t="s">
        <v>519</v>
      </c>
      <c r="E1040" s="36" t="s">
        <v>264</v>
      </c>
      <c r="F1040" s="36" t="s">
        <v>121</v>
      </c>
      <c r="L1040" s="42">
        <v>-20</v>
      </c>
    </row>
    <row r="1041" spans="2:12" ht="14.4" x14ac:dyDescent="0.3">
      <c r="B1041" s="39">
        <v>45889</v>
      </c>
      <c r="D1041" s="36" t="s">
        <v>519</v>
      </c>
      <c r="E1041" s="36" t="s">
        <v>264</v>
      </c>
      <c r="F1041" s="36" t="s">
        <v>121</v>
      </c>
      <c r="L1041" s="42">
        <v>-20</v>
      </c>
    </row>
    <row r="1042" spans="2:12" ht="14.4" x14ac:dyDescent="0.3">
      <c r="B1042" s="39">
        <v>45890</v>
      </c>
      <c r="D1042" s="36" t="s">
        <v>519</v>
      </c>
      <c r="E1042" s="36" t="s">
        <v>734</v>
      </c>
      <c r="F1042" s="36" t="s">
        <v>137</v>
      </c>
      <c r="L1042" s="42">
        <v>-187</v>
      </c>
    </row>
    <row r="1043" spans="2:12" ht="14.4" x14ac:dyDescent="0.3">
      <c r="B1043" s="39">
        <v>45890</v>
      </c>
      <c r="D1043" s="36" t="s">
        <v>519</v>
      </c>
      <c r="E1043" s="36" t="s">
        <v>735</v>
      </c>
      <c r="F1043" s="36" t="s">
        <v>137</v>
      </c>
      <c r="L1043" s="42">
        <v>-15.73</v>
      </c>
    </row>
    <row r="1044" spans="2:12" ht="14.4" x14ac:dyDescent="0.3">
      <c r="B1044" s="39">
        <v>45890</v>
      </c>
      <c r="D1044" s="36" t="s">
        <v>519</v>
      </c>
      <c r="E1044" s="36" t="s">
        <v>736</v>
      </c>
      <c r="F1044" s="36" t="s">
        <v>137</v>
      </c>
      <c r="L1044" s="42">
        <v>-11.41</v>
      </c>
    </row>
    <row r="1045" spans="2:12" ht="14.4" x14ac:dyDescent="0.3">
      <c r="B1045" s="39">
        <v>45890</v>
      </c>
      <c r="D1045" s="36" t="s">
        <v>519</v>
      </c>
      <c r="E1045" s="36" t="s">
        <v>737</v>
      </c>
      <c r="F1045" s="36" t="s">
        <v>137</v>
      </c>
      <c r="L1045" s="42">
        <v>-167</v>
      </c>
    </row>
    <row r="1046" spans="2:12" ht="14.4" x14ac:dyDescent="0.3">
      <c r="B1046" s="39">
        <v>45890</v>
      </c>
      <c r="D1046" s="36" t="s">
        <v>519</v>
      </c>
      <c r="E1046" s="36" t="s">
        <v>738</v>
      </c>
      <c r="F1046" s="36" t="s">
        <v>137</v>
      </c>
      <c r="L1046" s="42">
        <v>-177</v>
      </c>
    </row>
    <row r="1047" spans="2:12" ht="14.4" x14ac:dyDescent="0.3">
      <c r="B1047" s="39">
        <v>45890</v>
      </c>
      <c r="D1047" s="36" t="s">
        <v>519</v>
      </c>
      <c r="E1047" s="36" t="s">
        <v>739</v>
      </c>
      <c r="F1047" s="36" t="s">
        <v>137</v>
      </c>
      <c r="L1047" s="42">
        <v>-900</v>
      </c>
    </row>
    <row r="1048" spans="2:12" ht="14.4" x14ac:dyDescent="0.3">
      <c r="B1048" s="39">
        <v>45890</v>
      </c>
      <c r="D1048" s="36" t="s">
        <v>355</v>
      </c>
      <c r="E1048" s="36" t="s">
        <v>740</v>
      </c>
      <c r="F1048" s="36" t="s">
        <v>137</v>
      </c>
      <c r="L1048" s="42">
        <v>-59.82</v>
      </c>
    </row>
    <row r="1049" spans="2:12" ht="14.4" x14ac:dyDescent="0.3">
      <c r="B1049" s="39">
        <v>45890</v>
      </c>
      <c r="D1049" s="36" t="s">
        <v>519</v>
      </c>
      <c r="E1049" s="36" t="s">
        <v>741</v>
      </c>
      <c r="F1049" s="36" t="s">
        <v>137</v>
      </c>
      <c r="L1049" s="42">
        <v>-14.93</v>
      </c>
    </row>
    <row r="1050" spans="2:12" ht="14.4" x14ac:dyDescent="0.3">
      <c r="B1050" s="39">
        <v>45890</v>
      </c>
      <c r="D1050" s="36" t="s">
        <v>519</v>
      </c>
      <c r="E1050" s="36" t="s">
        <v>264</v>
      </c>
      <c r="F1050" s="36" t="s">
        <v>121</v>
      </c>
      <c r="L1050" s="42">
        <v>-20</v>
      </c>
    </row>
    <row r="1051" spans="2:12" ht="14.4" x14ac:dyDescent="0.3">
      <c r="B1051" s="39">
        <v>45890</v>
      </c>
      <c r="D1051" s="36" t="s">
        <v>519</v>
      </c>
      <c r="E1051" s="36" t="s">
        <v>775</v>
      </c>
      <c r="F1051" s="36" t="s">
        <v>782</v>
      </c>
      <c r="L1051" s="42">
        <v>-59</v>
      </c>
    </row>
    <row r="1052" spans="2:12" ht="14.4" x14ac:dyDescent="0.3">
      <c r="B1052" s="39">
        <v>45890</v>
      </c>
      <c r="D1052" s="36" t="s">
        <v>310</v>
      </c>
      <c r="E1052" s="36" t="s">
        <v>311</v>
      </c>
      <c r="F1052" s="36" t="s">
        <v>110</v>
      </c>
      <c r="K1052" s="42">
        <v>-2965</v>
      </c>
      <c r="L1052" s="42">
        <v>2965.57</v>
      </c>
    </row>
    <row r="1053" spans="2:12" ht="14.4" x14ac:dyDescent="0.3">
      <c r="B1053" s="39">
        <v>45891</v>
      </c>
      <c r="D1053" s="36" t="s">
        <v>519</v>
      </c>
      <c r="E1053" s="36" t="s">
        <v>742</v>
      </c>
      <c r="F1053" s="36" t="s">
        <v>137</v>
      </c>
      <c r="L1053" s="42">
        <v>-198</v>
      </c>
    </row>
    <row r="1054" spans="2:12" ht="14.4" x14ac:dyDescent="0.3">
      <c r="B1054" s="39">
        <v>45892</v>
      </c>
      <c r="D1054" s="36" t="s">
        <v>519</v>
      </c>
      <c r="E1054" s="36" t="s">
        <v>743</v>
      </c>
      <c r="F1054" s="36" t="s">
        <v>137</v>
      </c>
      <c r="L1054" s="42">
        <v>-197.74</v>
      </c>
    </row>
    <row r="1055" spans="2:12" ht="14.4" x14ac:dyDescent="0.3">
      <c r="B1055" s="39">
        <v>45892</v>
      </c>
      <c r="D1055" s="36" t="s">
        <v>519</v>
      </c>
      <c r="E1055" s="36" t="s">
        <v>744</v>
      </c>
      <c r="F1055" s="36" t="s">
        <v>137</v>
      </c>
      <c r="L1055" s="42">
        <v>-900</v>
      </c>
    </row>
    <row r="1056" spans="2:12" ht="14.4" x14ac:dyDescent="0.3">
      <c r="B1056" s="39">
        <v>45892</v>
      </c>
      <c r="D1056" s="36" t="s">
        <v>355</v>
      </c>
      <c r="E1056" s="36" t="s">
        <v>745</v>
      </c>
      <c r="F1056" s="36" t="s">
        <v>137</v>
      </c>
      <c r="L1056" s="42">
        <v>-60</v>
      </c>
    </row>
    <row r="1057" spans="2:12" ht="14.4" x14ac:dyDescent="0.3">
      <c r="B1057" s="39">
        <v>45892</v>
      </c>
      <c r="D1057" s="36" t="s">
        <v>519</v>
      </c>
      <c r="E1057" s="36" t="s">
        <v>264</v>
      </c>
      <c r="F1057" s="36" t="s">
        <v>121</v>
      </c>
      <c r="L1057" s="42">
        <v>-20</v>
      </c>
    </row>
    <row r="1058" spans="2:12" ht="14.4" x14ac:dyDescent="0.3">
      <c r="B1058" s="39">
        <v>45892</v>
      </c>
      <c r="D1058" s="36" t="s">
        <v>57</v>
      </c>
      <c r="E1058" s="36" t="s">
        <v>346</v>
      </c>
      <c r="F1058" s="36" t="s">
        <v>193</v>
      </c>
      <c r="L1058" s="42">
        <v>-51.64</v>
      </c>
    </row>
    <row r="1059" spans="2:12" ht="14.4" x14ac:dyDescent="0.3">
      <c r="B1059" s="39">
        <v>45893</v>
      </c>
      <c r="D1059" s="36" t="s">
        <v>355</v>
      </c>
      <c r="E1059" s="36" t="s">
        <v>746</v>
      </c>
      <c r="F1059" s="36" t="s">
        <v>137</v>
      </c>
      <c r="L1059" s="42">
        <v>-60</v>
      </c>
    </row>
    <row r="1060" spans="2:12" ht="14.4" x14ac:dyDescent="0.3">
      <c r="B1060" s="39">
        <v>45893</v>
      </c>
      <c r="D1060" s="36" t="s">
        <v>519</v>
      </c>
      <c r="E1060" s="36" t="s">
        <v>747</v>
      </c>
      <c r="F1060" s="36" t="s">
        <v>137</v>
      </c>
      <c r="L1060" s="42">
        <v>-198</v>
      </c>
    </row>
    <row r="1061" spans="2:12" ht="14.4" x14ac:dyDescent="0.3">
      <c r="B1061" s="39">
        <v>45893</v>
      </c>
      <c r="D1061" s="36" t="s">
        <v>519</v>
      </c>
      <c r="E1061" s="36" t="s">
        <v>300</v>
      </c>
      <c r="F1061" s="36" t="s">
        <v>347</v>
      </c>
      <c r="L1061" s="42">
        <v>-10.45</v>
      </c>
    </row>
    <row r="1062" spans="2:12" ht="14.4" x14ac:dyDescent="0.3">
      <c r="B1062" s="39">
        <v>45894</v>
      </c>
      <c r="D1062" s="36" t="s">
        <v>519</v>
      </c>
      <c r="E1062" s="36" t="s">
        <v>748</v>
      </c>
      <c r="F1062" s="36" t="s">
        <v>137</v>
      </c>
      <c r="L1062" s="42">
        <v>-900</v>
      </c>
    </row>
    <row r="1063" spans="2:12" ht="14.4" x14ac:dyDescent="0.3">
      <c r="B1063" s="39">
        <v>45894</v>
      </c>
      <c r="D1063" s="36" t="s">
        <v>355</v>
      </c>
      <c r="E1063" s="36" t="s">
        <v>749</v>
      </c>
      <c r="F1063" s="36" t="s">
        <v>137</v>
      </c>
      <c r="L1063" s="42">
        <v>-60</v>
      </c>
    </row>
    <row r="1064" spans="2:12" ht="14.4" x14ac:dyDescent="0.3">
      <c r="B1064" s="39">
        <v>45894</v>
      </c>
      <c r="D1064" s="36" t="s">
        <v>355</v>
      </c>
      <c r="E1064" s="36" t="s">
        <v>750</v>
      </c>
      <c r="F1064" s="36" t="s">
        <v>137</v>
      </c>
      <c r="L1064" s="42">
        <v>-60</v>
      </c>
    </row>
    <row r="1065" spans="2:12" ht="14.4" x14ac:dyDescent="0.3">
      <c r="B1065" s="39">
        <v>45894</v>
      </c>
      <c r="D1065" s="36" t="s">
        <v>519</v>
      </c>
      <c r="E1065" s="36" t="s">
        <v>264</v>
      </c>
      <c r="F1065" s="36" t="s">
        <v>121</v>
      </c>
      <c r="L1065" s="42">
        <v>-20</v>
      </c>
    </row>
    <row r="1066" spans="2:12" ht="14.4" x14ac:dyDescent="0.3">
      <c r="B1066" s="39">
        <v>45894</v>
      </c>
      <c r="D1066" s="36" t="s">
        <v>519</v>
      </c>
      <c r="E1066" s="36" t="s">
        <v>264</v>
      </c>
      <c r="F1066" s="36" t="s">
        <v>121</v>
      </c>
      <c r="L1066" s="42">
        <v>-20</v>
      </c>
    </row>
    <row r="1067" spans="2:12" ht="14.4" x14ac:dyDescent="0.3">
      <c r="B1067" s="39">
        <v>45894</v>
      </c>
      <c r="D1067" s="36" t="s">
        <v>519</v>
      </c>
      <c r="E1067" s="36" t="s">
        <v>264</v>
      </c>
      <c r="F1067" s="36" t="s">
        <v>121</v>
      </c>
      <c r="L1067" s="42">
        <v>-20</v>
      </c>
    </row>
    <row r="1068" spans="2:12" ht="14.4" x14ac:dyDescent="0.3">
      <c r="B1068" s="39">
        <v>45894</v>
      </c>
      <c r="D1068" s="36" t="s">
        <v>519</v>
      </c>
      <c r="E1068" s="36" t="s">
        <v>264</v>
      </c>
      <c r="F1068" s="36" t="s">
        <v>121</v>
      </c>
      <c r="L1068" s="42">
        <v>-20</v>
      </c>
    </row>
    <row r="1069" spans="2:12" ht="14.4" x14ac:dyDescent="0.3">
      <c r="B1069" s="39">
        <v>45894</v>
      </c>
      <c r="D1069" s="36" t="s">
        <v>519</v>
      </c>
      <c r="E1069" s="36" t="s">
        <v>264</v>
      </c>
      <c r="F1069" s="36" t="s">
        <v>121</v>
      </c>
      <c r="L1069" s="42">
        <v>-20</v>
      </c>
    </row>
    <row r="1070" spans="2:12" ht="14.4" x14ac:dyDescent="0.3">
      <c r="B1070" s="39">
        <v>45894</v>
      </c>
      <c r="D1070" s="36" t="s">
        <v>519</v>
      </c>
      <c r="E1070" s="36" t="s">
        <v>264</v>
      </c>
      <c r="F1070" s="36" t="s">
        <v>121</v>
      </c>
      <c r="L1070" s="42">
        <v>-20</v>
      </c>
    </row>
    <row r="1071" spans="2:12" ht="14.4" x14ac:dyDescent="0.3">
      <c r="B1071" s="39">
        <v>45894</v>
      </c>
      <c r="D1071" s="36" t="s">
        <v>519</v>
      </c>
      <c r="E1071" s="36" t="s">
        <v>264</v>
      </c>
      <c r="F1071" s="36" t="s">
        <v>121</v>
      </c>
      <c r="L1071" s="42">
        <v>-20</v>
      </c>
    </row>
    <row r="1072" spans="2:12" ht="14.4" x14ac:dyDescent="0.3">
      <c r="B1072" s="39">
        <v>45894</v>
      </c>
      <c r="D1072" s="36" t="s">
        <v>519</v>
      </c>
      <c r="E1072" s="36" t="s">
        <v>264</v>
      </c>
      <c r="F1072" s="36" t="s">
        <v>121</v>
      </c>
      <c r="L1072" s="42">
        <v>-20</v>
      </c>
    </row>
    <row r="1073" spans="2:12" ht="14.4" x14ac:dyDescent="0.3">
      <c r="B1073" s="39">
        <v>45894</v>
      </c>
      <c r="D1073" s="36" t="s">
        <v>519</v>
      </c>
      <c r="E1073" s="36" t="s">
        <v>264</v>
      </c>
      <c r="F1073" s="36" t="s">
        <v>121</v>
      </c>
      <c r="L1073" s="42">
        <v>-20</v>
      </c>
    </row>
    <row r="1074" spans="2:12" ht="14.4" x14ac:dyDescent="0.3">
      <c r="B1074" s="39">
        <v>45894</v>
      </c>
      <c r="D1074" s="36" t="s">
        <v>519</v>
      </c>
      <c r="E1074" s="36" t="s">
        <v>264</v>
      </c>
      <c r="F1074" s="36" t="s">
        <v>121</v>
      </c>
      <c r="L1074" s="42">
        <v>-20</v>
      </c>
    </row>
    <row r="1075" spans="2:12" ht="14.4" x14ac:dyDescent="0.3">
      <c r="B1075" s="39">
        <v>45894</v>
      </c>
      <c r="D1075" s="36" t="s">
        <v>519</v>
      </c>
      <c r="E1075" s="36" t="s">
        <v>264</v>
      </c>
      <c r="F1075" s="36" t="s">
        <v>121</v>
      </c>
      <c r="L1075" s="42">
        <v>-20</v>
      </c>
    </row>
    <row r="1076" spans="2:12" ht="14.4" x14ac:dyDescent="0.3">
      <c r="B1076" s="39">
        <v>45894</v>
      </c>
      <c r="D1076" s="36" t="s">
        <v>519</v>
      </c>
      <c r="E1076" s="36" t="s">
        <v>264</v>
      </c>
      <c r="F1076" s="36" t="s">
        <v>121</v>
      </c>
      <c r="L1076" s="42">
        <v>-20</v>
      </c>
    </row>
    <row r="1077" spans="2:12" ht="14.4" x14ac:dyDescent="0.3">
      <c r="B1077" s="39">
        <v>45894</v>
      </c>
      <c r="D1077" s="36" t="s">
        <v>519</v>
      </c>
      <c r="E1077" s="36" t="s">
        <v>264</v>
      </c>
      <c r="F1077" s="36" t="s">
        <v>121</v>
      </c>
      <c r="L1077" s="42">
        <v>-20</v>
      </c>
    </row>
    <row r="1078" spans="2:12" ht="14.4" x14ac:dyDescent="0.3">
      <c r="B1078" s="39">
        <v>45894</v>
      </c>
      <c r="D1078" s="36" t="s">
        <v>519</v>
      </c>
      <c r="E1078" s="36" t="s">
        <v>264</v>
      </c>
      <c r="F1078" s="36" t="s">
        <v>121</v>
      </c>
      <c r="L1078" s="42">
        <v>-20</v>
      </c>
    </row>
    <row r="1079" spans="2:12" ht="14.4" x14ac:dyDescent="0.3">
      <c r="B1079" s="39">
        <v>45894</v>
      </c>
      <c r="D1079" s="36" t="s">
        <v>519</v>
      </c>
      <c r="E1079" s="36" t="s">
        <v>264</v>
      </c>
      <c r="F1079" s="36" t="s">
        <v>121</v>
      </c>
      <c r="L1079" s="42">
        <v>-20</v>
      </c>
    </row>
    <row r="1080" spans="2:12" ht="14.4" x14ac:dyDescent="0.3">
      <c r="B1080" s="39">
        <v>45894</v>
      </c>
      <c r="D1080" s="36" t="s">
        <v>519</v>
      </c>
      <c r="E1080" s="36" t="s">
        <v>264</v>
      </c>
      <c r="F1080" s="36" t="s">
        <v>121</v>
      </c>
      <c r="L1080" s="42">
        <v>-20</v>
      </c>
    </row>
    <row r="1081" spans="2:12" ht="14.4" x14ac:dyDescent="0.3">
      <c r="B1081" s="39">
        <v>45894</v>
      </c>
      <c r="D1081" s="36" t="s">
        <v>519</v>
      </c>
      <c r="E1081" s="36" t="s">
        <v>264</v>
      </c>
      <c r="F1081" s="36" t="s">
        <v>121</v>
      </c>
      <c r="L1081" s="42">
        <v>-20</v>
      </c>
    </row>
    <row r="1082" spans="2:12" ht="14.4" x14ac:dyDescent="0.3">
      <c r="B1082" s="39">
        <v>45894</v>
      </c>
      <c r="D1082" s="36" t="s">
        <v>519</v>
      </c>
      <c r="E1082" s="36" t="s">
        <v>264</v>
      </c>
      <c r="F1082" s="36" t="s">
        <v>121</v>
      </c>
      <c r="L1082" s="42">
        <v>-20</v>
      </c>
    </row>
    <row r="1083" spans="2:12" ht="14.4" x14ac:dyDescent="0.3">
      <c r="B1083" s="39">
        <v>45894</v>
      </c>
      <c r="D1083" s="36" t="s">
        <v>519</v>
      </c>
      <c r="E1083" s="36" t="s">
        <v>264</v>
      </c>
      <c r="F1083" s="36" t="s">
        <v>121</v>
      </c>
      <c r="L1083" s="42">
        <v>-20</v>
      </c>
    </row>
    <row r="1084" spans="2:12" ht="14.4" x14ac:dyDescent="0.3">
      <c r="B1084" s="39">
        <v>45894</v>
      </c>
      <c r="D1084" s="36" t="s">
        <v>519</v>
      </c>
      <c r="E1084" s="36" t="s">
        <v>264</v>
      </c>
      <c r="F1084" s="36" t="s">
        <v>121</v>
      </c>
      <c r="L1084" s="42">
        <v>-20</v>
      </c>
    </row>
    <row r="1085" spans="2:12" ht="14.4" x14ac:dyDescent="0.3">
      <c r="B1085" s="39">
        <v>45894</v>
      </c>
      <c r="D1085" s="36" t="s">
        <v>519</v>
      </c>
      <c r="E1085" s="36" t="s">
        <v>264</v>
      </c>
      <c r="F1085" s="36" t="s">
        <v>121</v>
      </c>
      <c r="L1085" s="42">
        <v>-20</v>
      </c>
    </row>
    <row r="1086" spans="2:12" ht="14.4" x14ac:dyDescent="0.3">
      <c r="B1086" s="39">
        <v>45894</v>
      </c>
      <c r="D1086" s="36" t="s">
        <v>519</v>
      </c>
      <c r="E1086" s="36" t="s">
        <v>264</v>
      </c>
      <c r="F1086" s="36" t="s">
        <v>121</v>
      </c>
      <c r="L1086" s="42">
        <v>-20</v>
      </c>
    </row>
    <row r="1087" spans="2:12" ht="14.4" x14ac:dyDescent="0.3">
      <c r="B1087" s="39">
        <v>45894</v>
      </c>
      <c r="D1087" s="36" t="s">
        <v>519</v>
      </c>
      <c r="E1087" s="36" t="s">
        <v>264</v>
      </c>
      <c r="F1087" s="36" t="s">
        <v>121</v>
      </c>
      <c r="L1087" s="42">
        <v>-20</v>
      </c>
    </row>
    <row r="1088" spans="2:12" ht="14.4" x14ac:dyDescent="0.3">
      <c r="B1088" s="39">
        <v>45894</v>
      </c>
      <c r="D1088" s="36" t="s">
        <v>519</v>
      </c>
      <c r="E1088" s="36" t="s">
        <v>264</v>
      </c>
      <c r="F1088" s="36" t="s">
        <v>121</v>
      </c>
      <c r="L1088" s="42">
        <v>-20</v>
      </c>
    </row>
    <row r="1089" spans="2:12" ht="14.4" x14ac:dyDescent="0.3">
      <c r="B1089" s="39">
        <v>45894</v>
      </c>
      <c r="D1089" s="36" t="s">
        <v>519</v>
      </c>
      <c r="E1089" s="36" t="s">
        <v>264</v>
      </c>
      <c r="F1089" s="36" t="s">
        <v>121</v>
      </c>
      <c r="L1089" s="42">
        <v>-20</v>
      </c>
    </row>
    <row r="1090" spans="2:12" ht="14.4" x14ac:dyDescent="0.3">
      <c r="B1090" s="39">
        <v>45894</v>
      </c>
      <c r="D1090" s="36" t="s">
        <v>519</v>
      </c>
      <c r="E1090" s="36" t="s">
        <v>264</v>
      </c>
      <c r="F1090" s="36" t="s">
        <v>121</v>
      </c>
      <c r="L1090" s="42">
        <v>-20</v>
      </c>
    </row>
    <row r="1091" spans="2:12" ht="14.4" x14ac:dyDescent="0.3">
      <c r="B1091" s="39">
        <v>45894</v>
      </c>
      <c r="D1091" s="36" t="s">
        <v>519</v>
      </c>
      <c r="E1091" s="36" t="s">
        <v>264</v>
      </c>
      <c r="F1091" s="36" t="s">
        <v>121</v>
      </c>
      <c r="L1091" s="42">
        <v>-20</v>
      </c>
    </row>
    <row r="1092" spans="2:12" ht="14.4" x14ac:dyDescent="0.3">
      <c r="B1092" s="39">
        <v>45894</v>
      </c>
      <c r="D1092" s="36" t="s">
        <v>519</v>
      </c>
      <c r="E1092" s="36" t="s">
        <v>264</v>
      </c>
      <c r="F1092" s="36" t="s">
        <v>121</v>
      </c>
      <c r="L1092" s="42">
        <v>-20</v>
      </c>
    </row>
    <row r="1093" spans="2:12" ht="14.4" x14ac:dyDescent="0.3">
      <c r="B1093" s="39">
        <v>45894</v>
      </c>
      <c r="D1093" s="36" t="s">
        <v>57</v>
      </c>
      <c r="E1093" s="36" t="s">
        <v>281</v>
      </c>
      <c r="F1093" s="36" t="s">
        <v>282</v>
      </c>
      <c r="L1093" s="42">
        <v>-20</v>
      </c>
    </row>
    <row r="1094" spans="2:12" ht="14.4" x14ac:dyDescent="0.3">
      <c r="B1094" s="39">
        <v>45895</v>
      </c>
      <c r="D1094" s="36" t="s">
        <v>355</v>
      </c>
      <c r="E1094" s="36" t="s">
        <v>751</v>
      </c>
      <c r="F1094" s="36" t="s">
        <v>137</v>
      </c>
      <c r="L1094" s="42">
        <v>-60</v>
      </c>
    </row>
    <row r="1095" spans="2:12" ht="14.4" x14ac:dyDescent="0.3">
      <c r="B1095" s="39">
        <v>45895</v>
      </c>
      <c r="D1095" s="36" t="s">
        <v>519</v>
      </c>
      <c r="E1095" s="36" t="s">
        <v>264</v>
      </c>
      <c r="F1095" s="36" t="s">
        <v>121</v>
      </c>
      <c r="L1095" s="42">
        <v>-20</v>
      </c>
    </row>
    <row r="1096" spans="2:12" ht="14.4" x14ac:dyDescent="0.3">
      <c r="B1096" s="39">
        <v>45895</v>
      </c>
      <c r="D1096" s="36" t="s">
        <v>519</v>
      </c>
      <c r="E1096" s="36" t="s">
        <v>264</v>
      </c>
      <c r="F1096" s="36" t="s">
        <v>121</v>
      </c>
      <c r="L1096" s="42">
        <v>-20</v>
      </c>
    </row>
    <row r="1097" spans="2:12" ht="14.4" x14ac:dyDescent="0.3">
      <c r="B1097" s="39">
        <v>45895</v>
      </c>
      <c r="D1097" s="36" t="s">
        <v>519</v>
      </c>
      <c r="E1097" s="36" t="s">
        <v>264</v>
      </c>
      <c r="F1097" s="36" t="s">
        <v>121</v>
      </c>
      <c r="L1097" s="42">
        <v>-20</v>
      </c>
    </row>
    <row r="1098" spans="2:12" ht="14.4" x14ac:dyDescent="0.3">
      <c r="B1098" s="39">
        <v>45895</v>
      </c>
      <c r="D1098" s="36" t="s">
        <v>519</v>
      </c>
      <c r="E1098" s="36" t="s">
        <v>264</v>
      </c>
      <c r="F1098" s="36" t="s">
        <v>121</v>
      </c>
      <c r="L1098" s="42">
        <v>-20</v>
      </c>
    </row>
    <row r="1099" spans="2:12" ht="14.4" x14ac:dyDescent="0.3">
      <c r="B1099" s="39">
        <v>45895</v>
      </c>
      <c r="D1099" s="36" t="s">
        <v>519</v>
      </c>
      <c r="E1099" s="36" t="s">
        <v>264</v>
      </c>
      <c r="F1099" s="36" t="s">
        <v>121</v>
      </c>
      <c r="L1099" s="42">
        <v>-20</v>
      </c>
    </row>
    <row r="1100" spans="2:12" ht="14.4" x14ac:dyDescent="0.3">
      <c r="B1100" s="39">
        <v>45895</v>
      </c>
      <c r="D1100" s="36" t="s">
        <v>519</v>
      </c>
      <c r="E1100" s="36" t="s">
        <v>264</v>
      </c>
      <c r="F1100" s="36" t="s">
        <v>121</v>
      </c>
      <c r="L1100" s="42">
        <v>-20</v>
      </c>
    </row>
    <row r="1101" spans="2:12" ht="14.4" x14ac:dyDescent="0.3">
      <c r="B1101" s="39">
        <v>45895</v>
      </c>
      <c r="D1101" s="36" t="s">
        <v>519</v>
      </c>
      <c r="E1101" s="36" t="s">
        <v>264</v>
      </c>
      <c r="F1101" s="36" t="s">
        <v>121</v>
      </c>
      <c r="L1101" s="42">
        <v>-20</v>
      </c>
    </row>
    <row r="1102" spans="2:12" ht="14.4" x14ac:dyDescent="0.3">
      <c r="B1102" s="39">
        <v>45895</v>
      </c>
      <c r="D1102" s="36" t="s">
        <v>519</v>
      </c>
      <c r="E1102" s="36" t="s">
        <v>264</v>
      </c>
      <c r="F1102" s="36" t="s">
        <v>121</v>
      </c>
      <c r="L1102" s="42">
        <v>-20</v>
      </c>
    </row>
    <row r="1103" spans="2:12" ht="14.4" x14ac:dyDescent="0.3">
      <c r="B1103" s="39">
        <v>45895</v>
      </c>
      <c r="D1103" s="36" t="s">
        <v>519</v>
      </c>
      <c r="E1103" s="36" t="s">
        <v>264</v>
      </c>
      <c r="F1103" s="36" t="s">
        <v>121</v>
      </c>
      <c r="L1103" s="42">
        <v>-20</v>
      </c>
    </row>
    <row r="1104" spans="2:12" ht="14.4" x14ac:dyDescent="0.3">
      <c r="B1104" s="39">
        <v>45895</v>
      </c>
      <c r="D1104" s="36" t="s">
        <v>519</v>
      </c>
      <c r="E1104" s="36" t="s">
        <v>264</v>
      </c>
      <c r="F1104" s="36" t="s">
        <v>121</v>
      </c>
      <c r="L1104" s="42">
        <v>-20</v>
      </c>
    </row>
    <row r="1105" spans="2:12" ht="14.4" x14ac:dyDescent="0.3">
      <c r="B1105" s="39">
        <v>45895</v>
      </c>
      <c r="D1105" s="36" t="s">
        <v>519</v>
      </c>
      <c r="E1105" s="36" t="s">
        <v>264</v>
      </c>
      <c r="F1105" s="36" t="s">
        <v>121</v>
      </c>
      <c r="L1105" s="42">
        <v>-20</v>
      </c>
    </row>
    <row r="1106" spans="2:12" ht="14.4" x14ac:dyDescent="0.3">
      <c r="B1106" s="39">
        <v>45895</v>
      </c>
      <c r="D1106" s="36" t="s">
        <v>519</v>
      </c>
      <c r="E1106" s="36" t="s">
        <v>264</v>
      </c>
      <c r="F1106" s="36" t="s">
        <v>121</v>
      </c>
      <c r="L1106" s="42">
        <v>-20</v>
      </c>
    </row>
    <row r="1107" spans="2:12" ht="14.4" x14ac:dyDescent="0.3">
      <c r="B1107" s="39">
        <v>45895</v>
      </c>
      <c r="D1107" s="36" t="s">
        <v>519</v>
      </c>
      <c r="E1107" s="36" t="s">
        <v>264</v>
      </c>
      <c r="F1107" s="36" t="s">
        <v>121</v>
      </c>
      <c r="L1107" s="42">
        <v>-20</v>
      </c>
    </row>
    <row r="1108" spans="2:12" ht="14.4" x14ac:dyDescent="0.3">
      <c r="B1108" s="39">
        <v>45895</v>
      </c>
      <c r="D1108" s="36" t="s">
        <v>519</v>
      </c>
      <c r="E1108" s="36" t="s">
        <v>264</v>
      </c>
      <c r="F1108" s="36" t="s">
        <v>121</v>
      </c>
      <c r="L1108" s="42">
        <v>-20</v>
      </c>
    </row>
    <row r="1109" spans="2:12" ht="14.4" x14ac:dyDescent="0.3">
      <c r="B1109" s="39">
        <v>45895</v>
      </c>
      <c r="D1109" s="36" t="s">
        <v>519</v>
      </c>
      <c r="E1109" s="36" t="s">
        <v>264</v>
      </c>
      <c r="F1109" s="36" t="s">
        <v>121</v>
      </c>
      <c r="L1109" s="42">
        <v>-20</v>
      </c>
    </row>
    <row r="1110" spans="2:12" ht="14.4" x14ac:dyDescent="0.3">
      <c r="B1110" s="39">
        <v>45895</v>
      </c>
      <c r="D1110" s="36" t="s">
        <v>519</v>
      </c>
      <c r="E1110" s="36" t="s">
        <v>264</v>
      </c>
      <c r="F1110" s="36" t="s">
        <v>121</v>
      </c>
      <c r="L1110" s="42">
        <v>-20</v>
      </c>
    </row>
    <row r="1111" spans="2:12" ht="14.4" x14ac:dyDescent="0.3">
      <c r="B1111" s="39">
        <v>45895</v>
      </c>
      <c r="D1111" s="36" t="s">
        <v>519</v>
      </c>
      <c r="E1111" s="36" t="s">
        <v>264</v>
      </c>
      <c r="F1111" s="36" t="s">
        <v>121</v>
      </c>
      <c r="L1111" s="42">
        <v>-20</v>
      </c>
    </row>
    <row r="1112" spans="2:12" ht="14.4" x14ac:dyDescent="0.3">
      <c r="B1112" s="39">
        <v>45895</v>
      </c>
      <c r="D1112" s="36" t="s">
        <v>519</v>
      </c>
      <c r="E1112" s="36" t="s">
        <v>465</v>
      </c>
      <c r="F1112" s="36" t="s">
        <v>120</v>
      </c>
      <c r="L1112" s="42">
        <v>-37.76</v>
      </c>
    </row>
    <row r="1113" spans="2:12" ht="14.4" x14ac:dyDescent="0.3">
      <c r="B1113" s="39">
        <v>45896</v>
      </c>
      <c r="D1113" s="36" t="s">
        <v>355</v>
      </c>
      <c r="E1113" s="36" t="s">
        <v>752</v>
      </c>
      <c r="F1113" s="36" t="s">
        <v>137</v>
      </c>
      <c r="L1113" s="42">
        <v>-60</v>
      </c>
    </row>
    <row r="1114" spans="2:12" ht="14.4" x14ac:dyDescent="0.3">
      <c r="B1114" s="39">
        <v>45896</v>
      </c>
      <c r="D1114" s="36" t="s">
        <v>355</v>
      </c>
      <c r="E1114" s="36" t="s">
        <v>753</v>
      </c>
      <c r="F1114" s="36" t="s">
        <v>137</v>
      </c>
      <c r="L1114" s="42">
        <v>-60</v>
      </c>
    </row>
    <row r="1115" spans="2:12" ht="14.4" x14ac:dyDescent="0.3">
      <c r="B1115" s="39">
        <v>45896</v>
      </c>
      <c r="D1115" s="36" t="s">
        <v>519</v>
      </c>
      <c r="E1115" s="36" t="s">
        <v>264</v>
      </c>
      <c r="F1115" s="36" t="s">
        <v>121</v>
      </c>
      <c r="L1115" s="42">
        <v>-20</v>
      </c>
    </row>
    <row r="1116" spans="2:12" ht="14.4" x14ac:dyDescent="0.3">
      <c r="B1116" s="39">
        <v>45896</v>
      </c>
      <c r="D1116" s="36" t="s">
        <v>519</v>
      </c>
      <c r="E1116" s="36" t="s">
        <v>264</v>
      </c>
      <c r="F1116" s="36" t="s">
        <v>121</v>
      </c>
      <c r="L1116" s="42">
        <v>-20</v>
      </c>
    </row>
    <row r="1117" spans="2:12" ht="14.4" x14ac:dyDescent="0.3">
      <c r="B1117" s="39">
        <v>45896</v>
      </c>
      <c r="D1117" s="36" t="s">
        <v>519</v>
      </c>
      <c r="E1117" s="36" t="s">
        <v>264</v>
      </c>
      <c r="F1117" s="36" t="s">
        <v>121</v>
      </c>
      <c r="L1117" s="42">
        <v>-20</v>
      </c>
    </row>
    <row r="1118" spans="2:12" ht="14.4" x14ac:dyDescent="0.3">
      <c r="B1118" s="39">
        <v>45896</v>
      </c>
      <c r="D1118" s="36" t="s">
        <v>519</v>
      </c>
      <c r="E1118" s="36" t="s">
        <v>264</v>
      </c>
      <c r="F1118" s="36" t="s">
        <v>121</v>
      </c>
      <c r="L1118" s="42">
        <v>-20</v>
      </c>
    </row>
    <row r="1119" spans="2:12" ht="14.4" x14ac:dyDescent="0.3">
      <c r="B1119" s="39">
        <v>45896</v>
      </c>
      <c r="D1119" s="36" t="s">
        <v>519</v>
      </c>
      <c r="E1119" s="36" t="s">
        <v>264</v>
      </c>
      <c r="F1119" s="36" t="s">
        <v>121</v>
      </c>
      <c r="L1119" s="42">
        <v>-20</v>
      </c>
    </row>
    <row r="1120" spans="2:12" ht="14.4" x14ac:dyDescent="0.3">
      <c r="B1120" s="39">
        <v>45896</v>
      </c>
      <c r="D1120" s="36" t="s">
        <v>519</v>
      </c>
      <c r="E1120" s="36" t="s">
        <v>264</v>
      </c>
      <c r="F1120" s="36" t="s">
        <v>121</v>
      </c>
      <c r="L1120" s="42">
        <v>-20</v>
      </c>
    </row>
    <row r="1121" spans="2:12" ht="14.4" x14ac:dyDescent="0.3">
      <c r="B1121" s="39">
        <v>45896</v>
      </c>
      <c r="D1121" s="36" t="s">
        <v>519</v>
      </c>
      <c r="E1121" s="36" t="s">
        <v>264</v>
      </c>
      <c r="F1121" s="36" t="s">
        <v>121</v>
      </c>
      <c r="L1121" s="42">
        <v>-20</v>
      </c>
    </row>
    <row r="1122" spans="2:12" ht="14.4" x14ac:dyDescent="0.3">
      <c r="B1122" s="39">
        <v>45896</v>
      </c>
      <c r="D1122" s="36" t="s">
        <v>519</v>
      </c>
      <c r="E1122" s="36" t="s">
        <v>264</v>
      </c>
      <c r="F1122" s="36" t="s">
        <v>121</v>
      </c>
      <c r="L1122" s="42">
        <v>-20</v>
      </c>
    </row>
    <row r="1123" spans="2:12" ht="14.4" x14ac:dyDescent="0.3">
      <c r="B1123" s="39">
        <v>45896</v>
      </c>
      <c r="D1123" s="36" t="s">
        <v>519</v>
      </c>
      <c r="E1123" s="36" t="s">
        <v>264</v>
      </c>
      <c r="F1123" s="36" t="s">
        <v>121</v>
      </c>
      <c r="L1123" s="42">
        <v>-20</v>
      </c>
    </row>
    <row r="1124" spans="2:12" ht="14.4" x14ac:dyDescent="0.3">
      <c r="B1124" s="39">
        <v>45896</v>
      </c>
      <c r="D1124" s="36" t="s">
        <v>519</v>
      </c>
      <c r="E1124" s="36" t="s">
        <v>264</v>
      </c>
      <c r="F1124" s="36" t="s">
        <v>121</v>
      </c>
      <c r="L1124" s="42">
        <v>-20</v>
      </c>
    </row>
    <row r="1125" spans="2:12" ht="14.4" x14ac:dyDescent="0.3">
      <c r="B1125" s="39">
        <v>45896</v>
      </c>
      <c r="D1125" s="36" t="s">
        <v>519</v>
      </c>
      <c r="E1125" s="36" t="s">
        <v>264</v>
      </c>
      <c r="F1125" s="36" t="s">
        <v>121</v>
      </c>
      <c r="L1125" s="42">
        <v>-20</v>
      </c>
    </row>
    <row r="1126" spans="2:12" ht="14.4" x14ac:dyDescent="0.3">
      <c r="B1126" s="39">
        <v>45896</v>
      </c>
      <c r="D1126" s="36" t="s">
        <v>519</v>
      </c>
      <c r="E1126" s="36" t="s">
        <v>264</v>
      </c>
      <c r="F1126" s="36" t="s">
        <v>121</v>
      </c>
      <c r="L1126" s="42">
        <v>-20</v>
      </c>
    </row>
    <row r="1127" spans="2:12" ht="14.4" x14ac:dyDescent="0.3">
      <c r="B1127" s="39">
        <v>45896</v>
      </c>
      <c r="D1127" s="36" t="s">
        <v>519</v>
      </c>
      <c r="E1127" s="36" t="s">
        <v>264</v>
      </c>
      <c r="F1127" s="36" t="s">
        <v>121</v>
      </c>
      <c r="L1127" s="42">
        <v>-20</v>
      </c>
    </row>
    <row r="1128" spans="2:12" ht="14.4" x14ac:dyDescent="0.3">
      <c r="B1128" s="39">
        <v>45896</v>
      </c>
      <c r="D1128" s="36" t="s">
        <v>519</v>
      </c>
      <c r="E1128" s="36" t="s">
        <v>264</v>
      </c>
      <c r="F1128" s="36" t="s">
        <v>121</v>
      </c>
      <c r="L1128" s="42">
        <v>-20</v>
      </c>
    </row>
    <row r="1129" spans="2:12" ht="14.4" x14ac:dyDescent="0.3">
      <c r="B1129" s="39">
        <v>45896</v>
      </c>
      <c r="D1129" s="36" t="s">
        <v>519</v>
      </c>
      <c r="E1129" s="36" t="s">
        <v>264</v>
      </c>
      <c r="F1129" s="36" t="s">
        <v>121</v>
      </c>
      <c r="L1129" s="42">
        <v>-20</v>
      </c>
    </row>
    <row r="1130" spans="2:12" ht="14.4" x14ac:dyDescent="0.3">
      <c r="B1130" s="39">
        <v>45896</v>
      </c>
      <c r="D1130" s="36" t="s">
        <v>519</v>
      </c>
      <c r="E1130" s="36" t="s">
        <v>264</v>
      </c>
      <c r="F1130" s="36" t="s">
        <v>121</v>
      </c>
      <c r="L1130" s="42">
        <v>-20</v>
      </c>
    </row>
    <row r="1131" spans="2:12" ht="14.4" x14ac:dyDescent="0.3">
      <c r="B1131" s="39">
        <v>45896</v>
      </c>
      <c r="D1131" s="36" t="s">
        <v>519</v>
      </c>
      <c r="E1131" s="36" t="s">
        <v>264</v>
      </c>
      <c r="F1131" s="36" t="s">
        <v>121</v>
      </c>
      <c r="L1131" s="42">
        <v>-20</v>
      </c>
    </row>
    <row r="1132" spans="2:12" ht="14.4" x14ac:dyDescent="0.3">
      <c r="B1132" s="39">
        <v>45896</v>
      </c>
      <c r="D1132" s="36" t="s">
        <v>519</v>
      </c>
      <c r="E1132" s="36" t="s">
        <v>264</v>
      </c>
      <c r="F1132" s="36" t="s">
        <v>121</v>
      </c>
      <c r="L1132" s="42">
        <v>-20</v>
      </c>
    </row>
    <row r="1133" spans="2:12" ht="14.4" x14ac:dyDescent="0.3">
      <c r="B1133" s="39">
        <v>45896</v>
      </c>
      <c r="D1133" s="36" t="s">
        <v>519</v>
      </c>
      <c r="E1133" s="36" t="s">
        <v>465</v>
      </c>
      <c r="F1133" s="36" t="s">
        <v>120</v>
      </c>
      <c r="L1133" s="42">
        <v>-37.770000000000003</v>
      </c>
    </row>
    <row r="1134" spans="2:12" ht="14.4" x14ac:dyDescent="0.3">
      <c r="B1134" s="39">
        <v>45897</v>
      </c>
      <c r="D1134" s="36" t="s">
        <v>519</v>
      </c>
      <c r="E1134" s="36" t="s">
        <v>754</v>
      </c>
      <c r="F1134" s="36" t="s">
        <v>137</v>
      </c>
      <c r="L1134" s="42">
        <v>-900</v>
      </c>
    </row>
    <row r="1135" spans="2:12" ht="14.4" x14ac:dyDescent="0.3">
      <c r="B1135" s="39">
        <v>45897</v>
      </c>
      <c r="D1135" s="36" t="s">
        <v>519</v>
      </c>
      <c r="E1135" s="36" t="s">
        <v>755</v>
      </c>
      <c r="F1135" s="36" t="s">
        <v>137</v>
      </c>
      <c r="L1135" s="42">
        <v>-900</v>
      </c>
    </row>
    <row r="1136" spans="2:12" ht="14.4" x14ac:dyDescent="0.3">
      <c r="B1136" s="39">
        <v>45897</v>
      </c>
      <c r="D1136" s="36" t="s">
        <v>355</v>
      </c>
      <c r="E1136" s="36" t="s">
        <v>756</v>
      </c>
      <c r="F1136" s="36" t="s">
        <v>137</v>
      </c>
      <c r="L1136" s="42">
        <v>-60</v>
      </c>
    </row>
    <row r="1137" spans="2:12" ht="14.4" x14ac:dyDescent="0.3">
      <c r="B1137" s="39">
        <v>45897</v>
      </c>
      <c r="D1137" s="36" t="s">
        <v>519</v>
      </c>
      <c r="E1137" s="36" t="s">
        <v>757</v>
      </c>
      <c r="F1137" s="36" t="s">
        <v>137</v>
      </c>
      <c r="L1137" s="42">
        <v>-900</v>
      </c>
    </row>
    <row r="1138" spans="2:12" ht="14.4" x14ac:dyDescent="0.3">
      <c r="B1138" s="39">
        <v>45897</v>
      </c>
      <c r="D1138" s="36" t="s">
        <v>519</v>
      </c>
      <c r="E1138" s="36" t="s">
        <v>758</v>
      </c>
      <c r="F1138" s="36" t="s">
        <v>137</v>
      </c>
      <c r="L1138" s="42">
        <v>-28.92</v>
      </c>
    </row>
    <row r="1139" spans="2:12" ht="14.4" x14ac:dyDescent="0.3">
      <c r="B1139" s="39">
        <v>45897</v>
      </c>
      <c r="D1139" s="36" t="s">
        <v>519</v>
      </c>
      <c r="E1139" s="36" t="s">
        <v>264</v>
      </c>
      <c r="F1139" s="36" t="s">
        <v>121</v>
      </c>
      <c r="L1139" s="42">
        <v>-20</v>
      </c>
    </row>
    <row r="1140" spans="2:12" ht="14.4" x14ac:dyDescent="0.3">
      <c r="B1140" s="39">
        <v>45897</v>
      </c>
      <c r="D1140" s="36" t="s">
        <v>519</v>
      </c>
      <c r="E1140" s="36" t="s">
        <v>264</v>
      </c>
      <c r="F1140" s="36" t="s">
        <v>121</v>
      </c>
      <c r="L1140" s="42">
        <v>-20</v>
      </c>
    </row>
    <row r="1141" spans="2:12" ht="14.4" x14ac:dyDescent="0.3">
      <c r="B1141" s="39">
        <v>45897</v>
      </c>
      <c r="D1141" s="36" t="s">
        <v>519</v>
      </c>
      <c r="E1141" s="36" t="s">
        <v>264</v>
      </c>
      <c r="F1141" s="36" t="s">
        <v>121</v>
      </c>
      <c r="L1141" s="42">
        <v>-20</v>
      </c>
    </row>
    <row r="1142" spans="2:12" ht="14.4" x14ac:dyDescent="0.3">
      <c r="B1142" s="39">
        <v>45897</v>
      </c>
      <c r="D1142" s="36" t="s">
        <v>519</v>
      </c>
      <c r="E1142" s="36" t="s">
        <v>264</v>
      </c>
      <c r="F1142" s="36" t="s">
        <v>121</v>
      </c>
      <c r="L1142" s="42">
        <v>-20</v>
      </c>
    </row>
    <row r="1143" spans="2:12" ht="14.4" x14ac:dyDescent="0.3">
      <c r="B1143" s="39">
        <v>45897</v>
      </c>
      <c r="D1143" s="36" t="s">
        <v>519</v>
      </c>
      <c r="E1143" s="36" t="s">
        <v>264</v>
      </c>
      <c r="F1143" s="36" t="s">
        <v>121</v>
      </c>
      <c r="L1143" s="42">
        <v>-20</v>
      </c>
    </row>
    <row r="1144" spans="2:12" ht="14.4" x14ac:dyDescent="0.3">
      <c r="B1144" s="39">
        <v>45897</v>
      </c>
      <c r="D1144" s="36" t="s">
        <v>519</v>
      </c>
      <c r="E1144" s="36" t="s">
        <v>264</v>
      </c>
      <c r="F1144" s="36" t="s">
        <v>121</v>
      </c>
      <c r="L1144" s="42">
        <v>-20</v>
      </c>
    </row>
    <row r="1145" spans="2:12" ht="14.4" x14ac:dyDescent="0.3">
      <c r="B1145" s="39">
        <v>45897</v>
      </c>
      <c r="D1145" s="36" t="s">
        <v>519</v>
      </c>
      <c r="E1145" s="36" t="s">
        <v>264</v>
      </c>
      <c r="F1145" s="36" t="s">
        <v>121</v>
      </c>
      <c r="L1145" s="42">
        <v>-20</v>
      </c>
    </row>
    <row r="1146" spans="2:12" ht="14.4" x14ac:dyDescent="0.3">
      <c r="B1146" s="39">
        <v>45897</v>
      </c>
      <c r="D1146" s="36" t="s">
        <v>519</v>
      </c>
      <c r="E1146" s="36" t="s">
        <v>264</v>
      </c>
      <c r="F1146" s="36" t="s">
        <v>121</v>
      </c>
      <c r="L1146" s="42">
        <v>-20</v>
      </c>
    </row>
    <row r="1147" spans="2:12" ht="14.4" x14ac:dyDescent="0.3">
      <c r="B1147" s="39">
        <v>45897</v>
      </c>
      <c r="D1147" s="36" t="s">
        <v>519</v>
      </c>
      <c r="E1147" s="36" t="s">
        <v>264</v>
      </c>
      <c r="F1147" s="36" t="s">
        <v>121</v>
      </c>
      <c r="L1147" s="42">
        <v>-20</v>
      </c>
    </row>
    <row r="1148" spans="2:12" ht="14.4" x14ac:dyDescent="0.3">
      <c r="B1148" s="39">
        <v>45897</v>
      </c>
      <c r="D1148" s="36" t="s">
        <v>519</v>
      </c>
      <c r="E1148" s="36" t="s">
        <v>264</v>
      </c>
      <c r="F1148" s="36" t="s">
        <v>121</v>
      </c>
      <c r="L1148" s="42">
        <v>-20</v>
      </c>
    </row>
    <row r="1149" spans="2:12" ht="14.4" x14ac:dyDescent="0.3">
      <c r="B1149" s="39">
        <v>45897</v>
      </c>
      <c r="D1149" s="36" t="s">
        <v>519</v>
      </c>
      <c r="E1149" s="36" t="s">
        <v>264</v>
      </c>
      <c r="F1149" s="36" t="s">
        <v>121</v>
      </c>
      <c r="L1149" s="42">
        <v>-20</v>
      </c>
    </row>
    <row r="1150" spans="2:12" ht="14.4" x14ac:dyDescent="0.3">
      <c r="B1150" s="39">
        <v>45897</v>
      </c>
      <c r="D1150" s="36" t="s">
        <v>519</v>
      </c>
      <c r="E1150" s="36" t="s">
        <v>264</v>
      </c>
      <c r="F1150" s="36" t="s">
        <v>121</v>
      </c>
      <c r="L1150" s="42">
        <v>-20</v>
      </c>
    </row>
    <row r="1151" spans="2:12" ht="14.4" x14ac:dyDescent="0.3">
      <c r="B1151" s="39">
        <v>45897</v>
      </c>
      <c r="D1151" s="36" t="s">
        <v>519</v>
      </c>
      <c r="E1151" s="36" t="s">
        <v>264</v>
      </c>
      <c r="F1151" s="36" t="s">
        <v>121</v>
      </c>
      <c r="L1151" s="42">
        <v>-20</v>
      </c>
    </row>
    <row r="1152" spans="2:12" ht="14.4" x14ac:dyDescent="0.3">
      <c r="B1152" s="39">
        <v>45897</v>
      </c>
      <c r="D1152" s="36" t="s">
        <v>519</v>
      </c>
      <c r="E1152" s="36" t="s">
        <v>264</v>
      </c>
      <c r="F1152" s="36" t="s">
        <v>121</v>
      </c>
      <c r="L1152" s="42">
        <v>-20</v>
      </c>
    </row>
    <row r="1153" spans="2:12" ht="14.4" x14ac:dyDescent="0.3">
      <c r="B1153" s="39">
        <v>45897</v>
      </c>
      <c r="D1153" s="36" t="s">
        <v>519</v>
      </c>
      <c r="E1153" s="36" t="s">
        <v>264</v>
      </c>
      <c r="F1153" s="36" t="s">
        <v>121</v>
      </c>
      <c r="L1153" s="42">
        <v>-20</v>
      </c>
    </row>
    <row r="1154" spans="2:12" ht="14.4" x14ac:dyDescent="0.3">
      <c r="B1154" s="39">
        <v>45897</v>
      </c>
      <c r="D1154" s="36" t="s">
        <v>519</v>
      </c>
      <c r="E1154" s="36" t="s">
        <v>264</v>
      </c>
      <c r="F1154" s="36" t="s">
        <v>121</v>
      </c>
      <c r="L1154" s="42">
        <v>-20</v>
      </c>
    </row>
    <row r="1155" spans="2:12" ht="14.4" x14ac:dyDescent="0.3">
      <c r="B1155" s="39">
        <v>45897</v>
      </c>
      <c r="D1155" s="36" t="s">
        <v>519</v>
      </c>
      <c r="E1155" s="36" t="s">
        <v>264</v>
      </c>
      <c r="F1155" s="36" t="s">
        <v>121</v>
      </c>
      <c r="L1155" s="42">
        <v>-20</v>
      </c>
    </row>
    <row r="1156" spans="2:12" ht="14.4" x14ac:dyDescent="0.3">
      <c r="B1156" s="39">
        <v>45897</v>
      </c>
      <c r="D1156" s="36" t="s">
        <v>519</v>
      </c>
      <c r="E1156" s="36" t="s">
        <v>264</v>
      </c>
      <c r="F1156" s="36" t="s">
        <v>121</v>
      </c>
      <c r="L1156" s="42">
        <v>-20</v>
      </c>
    </row>
    <row r="1157" spans="2:12" ht="14.4" x14ac:dyDescent="0.3">
      <c r="B1157" s="39">
        <v>45897</v>
      </c>
      <c r="D1157" s="36" t="s">
        <v>519</v>
      </c>
      <c r="E1157" s="36" t="s">
        <v>264</v>
      </c>
      <c r="F1157" s="36" t="s">
        <v>121</v>
      </c>
      <c r="L1157" s="42">
        <v>-20</v>
      </c>
    </row>
    <row r="1158" spans="2:12" ht="14.4" x14ac:dyDescent="0.3">
      <c r="B1158" s="39">
        <v>45897</v>
      </c>
      <c r="D1158" s="36" t="s">
        <v>519</v>
      </c>
      <c r="E1158" s="36" t="s">
        <v>264</v>
      </c>
      <c r="F1158" s="36" t="s">
        <v>121</v>
      </c>
      <c r="L1158" s="42">
        <v>-20</v>
      </c>
    </row>
    <row r="1159" spans="2:12" ht="14.4" x14ac:dyDescent="0.3">
      <c r="B1159" s="39">
        <v>45897</v>
      </c>
      <c r="D1159" s="36" t="s">
        <v>519</v>
      </c>
      <c r="E1159" s="36" t="s">
        <v>264</v>
      </c>
      <c r="F1159" s="36" t="s">
        <v>121</v>
      </c>
      <c r="L1159" s="42">
        <v>-20</v>
      </c>
    </row>
    <row r="1160" spans="2:12" ht="14.4" x14ac:dyDescent="0.3">
      <c r="B1160" s="39">
        <v>45897</v>
      </c>
      <c r="D1160" s="36" t="s">
        <v>519</v>
      </c>
      <c r="E1160" s="36" t="s">
        <v>264</v>
      </c>
      <c r="F1160" s="36" t="s">
        <v>121</v>
      </c>
      <c r="L1160" s="42">
        <v>-20</v>
      </c>
    </row>
    <row r="1161" spans="2:12" ht="14.4" x14ac:dyDescent="0.3">
      <c r="B1161" s="39">
        <v>45897</v>
      </c>
      <c r="D1161" s="36" t="s">
        <v>57</v>
      </c>
      <c r="E1161" s="36" t="s">
        <v>768</v>
      </c>
      <c r="F1161" s="36" t="s">
        <v>70</v>
      </c>
      <c r="L1161" s="42">
        <v>-13</v>
      </c>
    </row>
    <row r="1162" spans="2:12" ht="14.4" x14ac:dyDescent="0.3">
      <c r="B1162" s="39">
        <v>45897</v>
      </c>
      <c r="D1162" s="36" t="s">
        <v>519</v>
      </c>
      <c r="E1162" s="36" t="s">
        <v>772</v>
      </c>
      <c r="F1162" s="36" t="s">
        <v>70</v>
      </c>
      <c r="L1162" s="42">
        <v>-20.41</v>
      </c>
    </row>
    <row r="1163" spans="2:12" ht="14.4" x14ac:dyDescent="0.3">
      <c r="B1163" s="39">
        <v>45898</v>
      </c>
      <c r="D1163" s="36" t="s">
        <v>519</v>
      </c>
      <c r="E1163" s="36" t="s">
        <v>776</v>
      </c>
      <c r="F1163" s="36" t="s">
        <v>778</v>
      </c>
      <c r="L1163" s="42">
        <v>-19</v>
      </c>
    </row>
    <row r="1164" spans="2:12" ht="14.4" x14ac:dyDescent="0.3">
      <c r="B1164" s="39">
        <v>45898</v>
      </c>
      <c r="D1164" s="36" t="s">
        <v>519</v>
      </c>
      <c r="E1164" s="36" t="s">
        <v>773</v>
      </c>
      <c r="F1164" s="36" t="s">
        <v>137</v>
      </c>
      <c r="L1164" s="42">
        <v>-6051.02</v>
      </c>
    </row>
    <row r="1165" spans="2:12" ht="14.4" x14ac:dyDescent="0.3">
      <c r="B1165" s="39">
        <v>45899</v>
      </c>
      <c r="D1165" s="36" t="s">
        <v>194</v>
      </c>
      <c r="E1165" s="36" t="s">
        <v>1125</v>
      </c>
      <c r="F1165" s="36" t="s">
        <v>524</v>
      </c>
      <c r="H1165" s="42">
        <v>265</v>
      </c>
    </row>
    <row r="1166" spans="2:12" ht="14.4" x14ac:dyDescent="0.3">
      <c r="B1166" s="39">
        <v>45900</v>
      </c>
      <c r="D1166" s="36" t="s">
        <v>519</v>
      </c>
      <c r="E1166" s="36" t="s">
        <v>759</v>
      </c>
      <c r="F1166" s="36" t="s">
        <v>137</v>
      </c>
      <c r="L1166" s="42">
        <v>-900</v>
      </c>
    </row>
    <row r="1167" spans="2:12" ht="14.4" x14ac:dyDescent="0.3">
      <c r="B1167" s="39">
        <v>45900</v>
      </c>
      <c r="D1167" s="36" t="s">
        <v>355</v>
      </c>
      <c r="E1167" s="36" t="s">
        <v>760</v>
      </c>
      <c r="F1167" s="36" t="s">
        <v>137</v>
      </c>
      <c r="L1167" s="42">
        <v>-60</v>
      </c>
    </row>
    <row r="1168" spans="2:12" ht="14.4" x14ac:dyDescent="0.3">
      <c r="B1168" s="39">
        <v>45900</v>
      </c>
      <c r="D1168" s="36" t="s">
        <v>519</v>
      </c>
      <c r="E1168" s="36" t="s">
        <v>761</v>
      </c>
      <c r="F1168" s="36" t="s">
        <v>137</v>
      </c>
      <c r="L1168" s="42">
        <v>-166.17</v>
      </c>
    </row>
    <row r="1169" spans="2:12" ht="14.4" x14ac:dyDescent="0.3">
      <c r="B1169" s="39">
        <v>45900</v>
      </c>
      <c r="D1169" s="36" t="s">
        <v>519</v>
      </c>
      <c r="E1169" s="36" t="s">
        <v>762</v>
      </c>
      <c r="F1169" s="36" t="s">
        <v>137</v>
      </c>
      <c r="L1169" s="42">
        <v>-900</v>
      </c>
    </row>
    <row r="1170" spans="2:12" ht="14.4" x14ac:dyDescent="0.3">
      <c r="B1170" s="39">
        <v>45900</v>
      </c>
      <c r="D1170" s="36" t="s">
        <v>355</v>
      </c>
      <c r="E1170" s="36" t="s">
        <v>763</v>
      </c>
      <c r="F1170" s="36" t="s">
        <v>137</v>
      </c>
      <c r="L1170" s="42">
        <v>-60</v>
      </c>
    </row>
    <row r="1171" spans="2:12" ht="14.4" x14ac:dyDescent="0.3">
      <c r="B1171" s="39">
        <v>45900</v>
      </c>
      <c r="D1171" s="36" t="s">
        <v>519</v>
      </c>
      <c r="E1171" s="36" t="s">
        <v>764</v>
      </c>
      <c r="F1171" s="36" t="s">
        <v>137</v>
      </c>
      <c r="L1171" s="42">
        <v>-900</v>
      </c>
    </row>
    <row r="1172" spans="2:12" ht="14.4" x14ac:dyDescent="0.3">
      <c r="B1172" s="39">
        <v>45900</v>
      </c>
      <c r="D1172" s="36" t="s">
        <v>355</v>
      </c>
      <c r="E1172" s="36" t="s">
        <v>765</v>
      </c>
      <c r="F1172" s="36" t="s">
        <v>137</v>
      </c>
      <c r="L1172" s="42">
        <v>-60</v>
      </c>
    </row>
    <row r="1173" spans="2:12" ht="14.4" x14ac:dyDescent="0.3">
      <c r="B1173" s="39">
        <v>45900</v>
      </c>
      <c r="D1173" s="36" t="s">
        <v>519</v>
      </c>
      <c r="E1173" s="36" t="s">
        <v>264</v>
      </c>
      <c r="F1173" s="36" t="s">
        <v>121</v>
      </c>
      <c r="L1173" s="42">
        <v>-20</v>
      </c>
    </row>
    <row r="1174" spans="2:12" ht="14.4" x14ac:dyDescent="0.3">
      <c r="B1174" s="39">
        <v>45900</v>
      </c>
      <c r="D1174" s="36" t="s">
        <v>519</v>
      </c>
      <c r="E1174" s="36" t="s">
        <v>777</v>
      </c>
      <c r="F1174" s="36" t="s">
        <v>781</v>
      </c>
      <c r="L1174" s="42">
        <v>-108.14</v>
      </c>
    </row>
    <row r="1175" spans="2:12" ht="14.4" x14ac:dyDescent="0.3">
      <c r="B1175" s="39">
        <v>45900</v>
      </c>
      <c r="D1175" s="36" t="s">
        <v>355</v>
      </c>
      <c r="E1175" s="36" t="s">
        <v>784</v>
      </c>
      <c r="F1175" s="36" t="s">
        <v>524</v>
      </c>
      <c r="K1175" s="42">
        <v>3105</v>
      </c>
    </row>
    <row r="1176" spans="2:12" ht="14.4" x14ac:dyDescent="0.3">
      <c r="B1176" s="39">
        <v>45901</v>
      </c>
      <c r="D1176" s="36" t="s">
        <v>519</v>
      </c>
      <c r="E1176" s="36" t="s">
        <v>264</v>
      </c>
      <c r="F1176" s="36" t="s">
        <v>121</v>
      </c>
      <c r="L1176" s="42">
        <v>-20</v>
      </c>
    </row>
    <row r="1177" spans="2:12" ht="14.4" x14ac:dyDescent="0.3">
      <c r="B1177" s="39">
        <v>45901</v>
      </c>
      <c r="D1177" s="36" t="s">
        <v>519</v>
      </c>
      <c r="E1177" s="36" t="s">
        <v>300</v>
      </c>
      <c r="F1177" s="36" t="s">
        <v>347</v>
      </c>
      <c r="L1177" s="42">
        <v>-88.99</v>
      </c>
    </row>
    <row r="1178" spans="2:12" ht="14.4" x14ac:dyDescent="0.3">
      <c r="B1178" s="39">
        <v>45901</v>
      </c>
      <c r="D1178" s="36" t="s">
        <v>57</v>
      </c>
      <c r="E1178" s="36" t="s">
        <v>777</v>
      </c>
      <c r="F1178" s="36" t="s">
        <v>224</v>
      </c>
      <c r="L1178" s="42">
        <v>-9.83</v>
      </c>
    </row>
    <row r="1179" spans="2:12" ht="14.4" x14ac:dyDescent="0.3">
      <c r="B1179" s="39">
        <v>45901</v>
      </c>
      <c r="D1179" s="36" t="s">
        <v>519</v>
      </c>
      <c r="E1179" s="36" t="s">
        <v>465</v>
      </c>
      <c r="F1179" s="36" t="s">
        <v>120</v>
      </c>
      <c r="L1179" s="42">
        <v>-28.2</v>
      </c>
    </row>
    <row r="1180" spans="2:12" ht="14.4" x14ac:dyDescent="0.3">
      <c r="B1180" s="39">
        <v>45901</v>
      </c>
      <c r="D1180" s="36" t="s">
        <v>355</v>
      </c>
      <c r="E1180" s="36" t="s">
        <v>788</v>
      </c>
      <c r="F1180" s="36" t="s">
        <v>137</v>
      </c>
      <c r="L1180" s="42">
        <v>-60</v>
      </c>
    </row>
    <row r="1181" spans="2:12" ht="14.4" x14ac:dyDescent="0.3">
      <c r="B1181" s="39">
        <v>45901</v>
      </c>
      <c r="D1181" s="36" t="s">
        <v>57</v>
      </c>
      <c r="E1181" s="36" t="s">
        <v>790</v>
      </c>
      <c r="F1181" s="36" t="s">
        <v>330</v>
      </c>
      <c r="L1181" s="42">
        <v>-2858</v>
      </c>
    </row>
    <row r="1182" spans="2:12" ht="14.4" x14ac:dyDescent="0.3">
      <c r="B1182" s="39">
        <v>45901</v>
      </c>
      <c r="D1182" s="36" t="s">
        <v>260</v>
      </c>
      <c r="E1182" s="36" t="s">
        <v>791</v>
      </c>
      <c r="F1182" s="36" t="s">
        <v>792</v>
      </c>
      <c r="L1182" s="42">
        <v>-268</v>
      </c>
    </row>
    <row r="1183" spans="2:12" ht="14.4" x14ac:dyDescent="0.3">
      <c r="B1183" s="39">
        <v>45902</v>
      </c>
      <c r="D1183" s="36" t="s">
        <v>355</v>
      </c>
      <c r="E1183" s="36" t="s">
        <v>793</v>
      </c>
      <c r="F1183" s="36" t="s">
        <v>137</v>
      </c>
      <c r="L1183" s="42">
        <v>-60</v>
      </c>
    </row>
    <row r="1184" spans="2:12" ht="14.4" x14ac:dyDescent="0.3">
      <c r="B1184" s="39">
        <v>45902</v>
      </c>
      <c r="D1184" s="36" t="s">
        <v>194</v>
      </c>
      <c r="E1184" s="36" t="s">
        <v>465</v>
      </c>
      <c r="F1184" s="36" t="s">
        <v>120</v>
      </c>
      <c r="L1184" s="62">
        <v>-28.2</v>
      </c>
    </row>
    <row r="1185" spans="2:12" ht="14.4" x14ac:dyDescent="0.3">
      <c r="B1185" s="39">
        <v>45903</v>
      </c>
      <c r="D1185" s="36" t="s">
        <v>355</v>
      </c>
      <c r="E1185" s="36" t="s">
        <v>794</v>
      </c>
      <c r="F1185" s="36" t="s">
        <v>137</v>
      </c>
      <c r="L1185" s="42">
        <v>-60</v>
      </c>
    </row>
    <row r="1186" spans="2:12" ht="14.4" x14ac:dyDescent="0.3">
      <c r="B1186" s="39">
        <v>45903</v>
      </c>
      <c r="D1186" s="36" t="s">
        <v>355</v>
      </c>
      <c r="E1186" s="36" t="s">
        <v>795</v>
      </c>
      <c r="F1186" s="36" t="s">
        <v>137</v>
      </c>
      <c r="L1186" s="42">
        <v>-60</v>
      </c>
    </row>
    <row r="1187" spans="2:12" ht="14.4" x14ac:dyDescent="0.3">
      <c r="B1187" s="39">
        <v>45903</v>
      </c>
      <c r="D1187" s="36" t="s">
        <v>57</v>
      </c>
      <c r="E1187" s="36" t="s">
        <v>482</v>
      </c>
      <c r="F1187" s="36" t="s">
        <v>517</v>
      </c>
      <c r="L1187" s="42">
        <v>-20</v>
      </c>
    </row>
    <row r="1188" spans="2:12" ht="14.4" x14ac:dyDescent="0.3">
      <c r="B1188" s="39">
        <v>45904</v>
      </c>
      <c r="D1188" s="36" t="s">
        <v>355</v>
      </c>
      <c r="E1188" s="36" t="s">
        <v>796</v>
      </c>
      <c r="F1188" s="36" t="s">
        <v>137</v>
      </c>
      <c r="L1188" s="42">
        <v>-60</v>
      </c>
    </row>
    <row r="1189" spans="2:12" ht="14.4" x14ac:dyDescent="0.3">
      <c r="B1189" s="39">
        <v>45904</v>
      </c>
      <c r="D1189" s="36" t="s">
        <v>57</v>
      </c>
      <c r="E1189" s="36" t="s">
        <v>345</v>
      </c>
      <c r="F1189" s="36" t="s">
        <v>202</v>
      </c>
      <c r="L1189" s="62">
        <v>-20</v>
      </c>
    </row>
    <row r="1190" spans="2:12" ht="14.4" x14ac:dyDescent="0.3">
      <c r="B1190" s="39">
        <v>45904</v>
      </c>
      <c r="D1190" s="36" t="s">
        <v>57</v>
      </c>
      <c r="E1190" s="36" t="s">
        <v>824</v>
      </c>
      <c r="F1190" s="36" t="s">
        <v>828</v>
      </c>
      <c r="L1190" s="42">
        <v>-10</v>
      </c>
    </row>
    <row r="1191" spans="2:12" ht="14.4" x14ac:dyDescent="0.3">
      <c r="B1191" s="39">
        <v>45904</v>
      </c>
      <c r="D1191" s="36" t="s">
        <v>57</v>
      </c>
      <c r="E1191" s="36" t="s">
        <v>825</v>
      </c>
      <c r="F1191" s="36" t="s">
        <v>780</v>
      </c>
      <c r="L1191" s="62">
        <v>-28.82</v>
      </c>
    </row>
    <row r="1192" spans="2:12" ht="14.4" x14ac:dyDescent="0.3">
      <c r="B1192" s="39">
        <v>45906</v>
      </c>
      <c r="D1192" s="36" t="s">
        <v>355</v>
      </c>
      <c r="E1192" s="36" t="s">
        <v>797</v>
      </c>
      <c r="F1192" s="36" t="s">
        <v>137</v>
      </c>
      <c r="L1192" s="42">
        <v>-60</v>
      </c>
    </row>
    <row r="1193" spans="2:12" ht="14.4" x14ac:dyDescent="0.3">
      <c r="B1193" s="39">
        <v>45906</v>
      </c>
      <c r="D1193" s="36" t="s">
        <v>355</v>
      </c>
      <c r="E1193" s="36" t="s">
        <v>798</v>
      </c>
      <c r="F1193" s="36" t="s">
        <v>137</v>
      </c>
      <c r="L1193" s="42">
        <v>-60</v>
      </c>
    </row>
    <row r="1194" spans="2:12" ht="14.4" x14ac:dyDescent="0.3">
      <c r="B1194" s="39">
        <v>45906</v>
      </c>
      <c r="D1194" s="36" t="s">
        <v>355</v>
      </c>
      <c r="E1194" s="36" t="s">
        <v>799</v>
      </c>
      <c r="F1194" s="36" t="s">
        <v>137</v>
      </c>
      <c r="L1194" s="42">
        <v>-60</v>
      </c>
    </row>
    <row r="1195" spans="2:12" ht="14.4" x14ac:dyDescent="0.3">
      <c r="B1195" s="39">
        <v>45906</v>
      </c>
      <c r="D1195" s="36" t="s">
        <v>355</v>
      </c>
      <c r="E1195" s="36" t="s">
        <v>800</v>
      </c>
      <c r="F1195" s="36" t="s">
        <v>137</v>
      </c>
      <c r="L1195" s="42">
        <v>-60</v>
      </c>
    </row>
    <row r="1196" spans="2:12" ht="14.4" x14ac:dyDescent="0.3">
      <c r="B1196" s="39">
        <v>45906</v>
      </c>
      <c r="D1196" s="36" t="s">
        <v>355</v>
      </c>
      <c r="E1196" s="36" t="s">
        <v>801</v>
      </c>
      <c r="F1196" s="36" t="s">
        <v>137</v>
      </c>
      <c r="L1196" s="42">
        <v>-60</v>
      </c>
    </row>
    <row r="1197" spans="2:12" ht="14.4" x14ac:dyDescent="0.3">
      <c r="B1197" s="39">
        <v>45906</v>
      </c>
      <c r="D1197" s="36" t="s">
        <v>519</v>
      </c>
      <c r="E1197" s="36" t="s">
        <v>768</v>
      </c>
      <c r="F1197" s="36" t="s">
        <v>70</v>
      </c>
      <c r="L1197" s="42">
        <v>-14.24</v>
      </c>
    </row>
    <row r="1198" spans="2:12" ht="14.4" x14ac:dyDescent="0.3">
      <c r="B1198" s="39">
        <v>45907</v>
      </c>
      <c r="D1198" s="36" t="s">
        <v>355</v>
      </c>
      <c r="E1198" s="36" t="s">
        <v>802</v>
      </c>
      <c r="F1198" s="36" t="s">
        <v>137</v>
      </c>
      <c r="L1198" s="42">
        <v>-60</v>
      </c>
    </row>
    <row r="1199" spans="2:12" ht="14.4" x14ac:dyDescent="0.3">
      <c r="B1199" s="39">
        <v>45907</v>
      </c>
      <c r="D1199" s="36" t="s">
        <v>355</v>
      </c>
      <c r="E1199" s="36" t="s">
        <v>803</v>
      </c>
      <c r="F1199" s="36" t="s">
        <v>137</v>
      </c>
      <c r="L1199" s="42">
        <v>-60</v>
      </c>
    </row>
    <row r="1200" spans="2:12" ht="14.4" x14ac:dyDescent="0.3">
      <c r="B1200" s="39">
        <v>45907</v>
      </c>
      <c r="D1200" s="36" t="s">
        <v>355</v>
      </c>
      <c r="E1200" s="36" t="s">
        <v>804</v>
      </c>
      <c r="F1200" s="36" t="s">
        <v>137</v>
      </c>
      <c r="L1200" s="42">
        <v>-60</v>
      </c>
    </row>
    <row r="1201" spans="2:12" ht="14.4" x14ac:dyDescent="0.3">
      <c r="B1201" s="39">
        <v>45907</v>
      </c>
      <c r="D1201" s="36" t="s">
        <v>57</v>
      </c>
      <c r="E1201" s="36" t="s">
        <v>826</v>
      </c>
      <c r="F1201" s="36" t="s">
        <v>282</v>
      </c>
      <c r="L1201" s="62">
        <v>-13.09</v>
      </c>
    </row>
    <row r="1202" spans="2:12" ht="14.4" x14ac:dyDescent="0.3">
      <c r="B1202" s="39">
        <v>45907</v>
      </c>
      <c r="D1202" s="36" t="s">
        <v>519</v>
      </c>
      <c r="E1202" s="36" t="s">
        <v>257</v>
      </c>
      <c r="F1202" s="36" t="s">
        <v>131</v>
      </c>
      <c r="L1202" s="42">
        <v>-38</v>
      </c>
    </row>
    <row r="1203" spans="2:12" ht="14.4" x14ac:dyDescent="0.3">
      <c r="B1203" s="39">
        <v>45907</v>
      </c>
      <c r="D1203" s="36" t="s">
        <v>519</v>
      </c>
      <c r="E1203" s="36" t="s">
        <v>264</v>
      </c>
      <c r="F1203" s="36" t="s">
        <v>121</v>
      </c>
      <c r="L1203" s="62">
        <v>-268.41000000000003</v>
      </c>
    </row>
    <row r="1204" spans="2:12" ht="14.4" x14ac:dyDescent="0.3">
      <c r="B1204" s="39">
        <v>45908</v>
      </c>
      <c r="D1204" s="36" t="s">
        <v>355</v>
      </c>
      <c r="E1204" s="36" t="s">
        <v>805</v>
      </c>
      <c r="F1204" s="36" t="s">
        <v>137</v>
      </c>
      <c r="L1204" s="42">
        <v>-60</v>
      </c>
    </row>
    <row r="1205" spans="2:12" ht="14.4" x14ac:dyDescent="0.3">
      <c r="B1205" s="39">
        <v>45908</v>
      </c>
      <c r="D1205" s="36" t="s">
        <v>355</v>
      </c>
      <c r="E1205" s="36" t="s">
        <v>806</v>
      </c>
      <c r="F1205" s="36" t="s">
        <v>137</v>
      </c>
      <c r="L1205" s="42">
        <v>-60</v>
      </c>
    </row>
    <row r="1206" spans="2:12" ht="14.4" x14ac:dyDescent="0.3">
      <c r="B1206" s="39">
        <v>45908</v>
      </c>
      <c r="D1206" s="36" t="s">
        <v>355</v>
      </c>
      <c r="E1206" s="36" t="s">
        <v>807</v>
      </c>
      <c r="F1206" s="36" t="s">
        <v>137</v>
      </c>
      <c r="L1206" s="42">
        <v>-60</v>
      </c>
    </row>
    <row r="1207" spans="2:12" ht="14.4" x14ac:dyDescent="0.3">
      <c r="B1207" s="39">
        <v>45908</v>
      </c>
      <c r="D1207" s="36" t="s">
        <v>57</v>
      </c>
      <c r="E1207" s="36" t="s">
        <v>768</v>
      </c>
      <c r="F1207" s="36" t="s">
        <v>70</v>
      </c>
      <c r="L1207" s="42">
        <v>-15.02</v>
      </c>
    </row>
    <row r="1208" spans="2:12" ht="14.4" x14ac:dyDescent="0.3">
      <c r="B1208" s="39">
        <v>45908</v>
      </c>
      <c r="D1208" s="36" t="s">
        <v>57</v>
      </c>
      <c r="E1208" s="36" t="s">
        <v>827</v>
      </c>
      <c r="F1208" s="36" t="s">
        <v>224</v>
      </c>
      <c r="L1208" s="62">
        <v>-97</v>
      </c>
    </row>
    <row r="1209" spans="2:12" ht="14.4" x14ac:dyDescent="0.3">
      <c r="B1209" s="39">
        <v>45908</v>
      </c>
      <c r="D1209" s="36" t="s">
        <v>57</v>
      </c>
      <c r="E1209" s="36" t="s">
        <v>827</v>
      </c>
      <c r="F1209" s="36" t="s">
        <v>224</v>
      </c>
      <c r="L1209" s="42">
        <v>-54</v>
      </c>
    </row>
    <row r="1210" spans="2:12" ht="14.4" x14ac:dyDescent="0.3">
      <c r="B1210" s="39">
        <v>45909</v>
      </c>
      <c r="D1210" s="36" t="s">
        <v>355</v>
      </c>
      <c r="E1210" s="36" t="s">
        <v>808</v>
      </c>
      <c r="F1210" s="36" t="s">
        <v>137</v>
      </c>
      <c r="L1210" s="42">
        <v>-60</v>
      </c>
    </row>
    <row r="1211" spans="2:12" ht="14.4" x14ac:dyDescent="0.3">
      <c r="B1211" s="39">
        <v>45909</v>
      </c>
      <c r="D1211" s="36" t="s">
        <v>355</v>
      </c>
      <c r="E1211" s="36" t="s">
        <v>809</v>
      </c>
      <c r="F1211" s="36" t="s">
        <v>137</v>
      </c>
      <c r="L1211" s="42">
        <v>-60</v>
      </c>
    </row>
    <row r="1212" spans="2:12" ht="14.4" x14ac:dyDescent="0.3">
      <c r="B1212" s="39">
        <v>45909</v>
      </c>
      <c r="D1212" s="36" t="s">
        <v>355</v>
      </c>
      <c r="E1212" s="36" t="s">
        <v>810</v>
      </c>
      <c r="F1212" s="36" t="s">
        <v>137</v>
      </c>
      <c r="L1212" s="42">
        <v>-60</v>
      </c>
    </row>
    <row r="1213" spans="2:12" ht="14.4" x14ac:dyDescent="0.3">
      <c r="B1213" s="39">
        <v>45909</v>
      </c>
      <c r="D1213" s="36" t="s">
        <v>519</v>
      </c>
      <c r="E1213" s="36" t="s">
        <v>772</v>
      </c>
      <c r="F1213" s="36" t="s">
        <v>70</v>
      </c>
      <c r="L1213" s="62">
        <v>-62.96</v>
      </c>
    </row>
    <row r="1214" spans="2:12" ht="14.4" x14ac:dyDescent="0.3">
      <c r="B1214" s="39">
        <v>45910</v>
      </c>
      <c r="D1214" s="36" t="s">
        <v>355</v>
      </c>
      <c r="E1214" s="36" t="s">
        <v>811</v>
      </c>
      <c r="F1214" s="36" t="s">
        <v>137</v>
      </c>
      <c r="L1214" s="42">
        <v>-60</v>
      </c>
    </row>
    <row r="1215" spans="2:12" ht="14.4" x14ac:dyDescent="0.3">
      <c r="B1215" s="39">
        <v>45910</v>
      </c>
      <c r="D1215" s="36" t="s">
        <v>355</v>
      </c>
      <c r="E1215" s="36" t="s">
        <v>812</v>
      </c>
      <c r="F1215" s="36" t="s">
        <v>137</v>
      </c>
      <c r="L1215" s="42">
        <v>-60</v>
      </c>
    </row>
    <row r="1216" spans="2:12" ht="14.4" x14ac:dyDescent="0.3">
      <c r="B1216" s="39">
        <v>45911</v>
      </c>
      <c r="D1216" s="36" t="s">
        <v>355</v>
      </c>
      <c r="E1216" s="36" t="s">
        <v>813</v>
      </c>
      <c r="F1216" s="36" t="s">
        <v>137</v>
      </c>
      <c r="L1216" s="42">
        <v>-60</v>
      </c>
    </row>
    <row r="1217" spans="2:12" ht="14.4" x14ac:dyDescent="0.3">
      <c r="B1217" s="39">
        <v>45911</v>
      </c>
      <c r="D1217" s="36" t="s">
        <v>355</v>
      </c>
      <c r="E1217" s="36" t="s">
        <v>814</v>
      </c>
      <c r="F1217" s="36" t="s">
        <v>137</v>
      </c>
      <c r="L1217" s="42">
        <v>-60</v>
      </c>
    </row>
    <row r="1218" spans="2:12" ht="14.4" x14ac:dyDescent="0.3">
      <c r="B1218" s="39">
        <v>45912</v>
      </c>
      <c r="D1218" s="36" t="s">
        <v>355</v>
      </c>
      <c r="E1218" s="36" t="s">
        <v>815</v>
      </c>
      <c r="F1218" s="36" t="s">
        <v>137</v>
      </c>
      <c r="L1218" s="42">
        <v>-60</v>
      </c>
    </row>
    <row r="1219" spans="2:12" ht="14.4" x14ac:dyDescent="0.3">
      <c r="B1219" s="39">
        <v>45913</v>
      </c>
      <c r="D1219" s="36" t="s">
        <v>355</v>
      </c>
      <c r="E1219" s="36" t="s">
        <v>816</v>
      </c>
      <c r="F1219" s="36" t="s">
        <v>137</v>
      </c>
      <c r="L1219" s="42">
        <v>-60</v>
      </c>
    </row>
    <row r="1220" spans="2:12" ht="14.4" x14ac:dyDescent="0.3">
      <c r="B1220" s="39">
        <v>45913</v>
      </c>
      <c r="D1220" s="36" t="s">
        <v>355</v>
      </c>
      <c r="E1220" s="36" t="s">
        <v>817</v>
      </c>
      <c r="F1220" s="36" t="s">
        <v>137</v>
      </c>
      <c r="L1220" s="42">
        <v>-60</v>
      </c>
    </row>
    <row r="1221" spans="2:12" ht="14.4" x14ac:dyDescent="0.3">
      <c r="B1221" s="39">
        <v>45913</v>
      </c>
      <c r="D1221" s="36" t="s">
        <v>355</v>
      </c>
      <c r="E1221" s="36" t="s">
        <v>818</v>
      </c>
      <c r="F1221" s="36" t="s">
        <v>137</v>
      </c>
      <c r="L1221" s="42">
        <v>-60</v>
      </c>
    </row>
    <row r="1222" spans="2:12" ht="14.4" x14ac:dyDescent="0.3">
      <c r="B1222" s="39">
        <v>45913</v>
      </c>
      <c r="D1222" s="36" t="s">
        <v>355</v>
      </c>
      <c r="E1222" s="36" t="s">
        <v>819</v>
      </c>
      <c r="F1222" s="36" t="s">
        <v>137</v>
      </c>
      <c r="L1222" s="42">
        <v>-60</v>
      </c>
    </row>
    <row r="1223" spans="2:12" ht="14.4" x14ac:dyDescent="0.3">
      <c r="B1223" s="39">
        <v>45913</v>
      </c>
      <c r="D1223" s="36" t="s">
        <v>355</v>
      </c>
      <c r="E1223" s="36" t="s">
        <v>820</v>
      </c>
      <c r="F1223" s="36" t="s">
        <v>137</v>
      </c>
      <c r="L1223" s="42">
        <v>-60</v>
      </c>
    </row>
    <row r="1224" spans="2:12" ht="14.4" x14ac:dyDescent="0.3">
      <c r="B1224" s="39">
        <v>45913</v>
      </c>
      <c r="D1224" s="36" t="s">
        <v>519</v>
      </c>
      <c r="E1224" s="36" t="s">
        <v>768</v>
      </c>
      <c r="F1224" s="36" t="s">
        <v>70</v>
      </c>
      <c r="L1224" s="42">
        <v>-18.54</v>
      </c>
    </row>
    <row r="1225" spans="2:12" ht="14.4" x14ac:dyDescent="0.3">
      <c r="B1225" s="39">
        <v>45913</v>
      </c>
      <c r="D1225" s="36" t="s">
        <v>785</v>
      </c>
      <c r="E1225" s="36" t="s">
        <v>257</v>
      </c>
      <c r="F1225" s="36" t="s">
        <v>131</v>
      </c>
      <c r="L1225" s="62">
        <v>-38</v>
      </c>
    </row>
    <row r="1226" spans="2:12" ht="14.4" x14ac:dyDescent="0.3">
      <c r="B1226" s="39">
        <v>45914</v>
      </c>
      <c r="D1226" s="36" t="s">
        <v>355</v>
      </c>
      <c r="E1226" s="36" t="s">
        <v>821</v>
      </c>
      <c r="F1226" s="36" t="s">
        <v>137</v>
      </c>
      <c r="L1226" s="42">
        <v>-60</v>
      </c>
    </row>
    <row r="1227" spans="2:12" ht="14.4" x14ac:dyDescent="0.3">
      <c r="B1227" s="39">
        <v>45914</v>
      </c>
      <c r="D1227" s="36" t="s">
        <v>355</v>
      </c>
      <c r="E1227" s="36" t="s">
        <v>822</v>
      </c>
      <c r="F1227" s="36" t="s">
        <v>137</v>
      </c>
      <c r="L1227" s="42">
        <v>-60</v>
      </c>
    </row>
    <row r="1228" spans="2:12" ht="14.4" x14ac:dyDescent="0.3">
      <c r="B1228" s="39">
        <v>45915</v>
      </c>
      <c r="D1228" s="36" t="s">
        <v>355</v>
      </c>
      <c r="E1228" s="36" t="s">
        <v>823</v>
      </c>
      <c r="F1228" s="36" t="s">
        <v>137</v>
      </c>
      <c r="L1228" s="42">
        <v>-60</v>
      </c>
    </row>
    <row r="1229" spans="2:12" ht="14.4" x14ac:dyDescent="0.3">
      <c r="B1229" s="39">
        <v>45916</v>
      </c>
      <c r="D1229" s="36" t="s">
        <v>355</v>
      </c>
      <c r="E1229" s="36" t="s">
        <v>829</v>
      </c>
      <c r="F1229" s="36" t="s">
        <v>137</v>
      </c>
      <c r="L1229" s="42">
        <v>-60</v>
      </c>
    </row>
    <row r="1230" spans="2:12" ht="14.4" x14ac:dyDescent="0.3">
      <c r="B1230" s="39">
        <v>45916</v>
      </c>
      <c r="D1230" s="36" t="s">
        <v>355</v>
      </c>
      <c r="E1230" s="36" t="s">
        <v>830</v>
      </c>
      <c r="F1230" s="36" t="s">
        <v>137</v>
      </c>
      <c r="L1230" s="42">
        <v>-60</v>
      </c>
    </row>
    <row r="1231" spans="2:12" ht="14.4" x14ac:dyDescent="0.3">
      <c r="B1231" s="39">
        <v>45917</v>
      </c>
      <c r="D1231" s="36" t="s">
        <v>355</v>
      </c>
      <c r="E1231" s="36" t="s">
        <v>831</v>
      </c>
      <c r="F1231" s="36" t="s">
        <v>137</v>
      </c>
      <c r="L1231" s="42">
        <v>-60</v>
      </c>
    </row>
    <row r="1232" spans="2:12" ht="14.4" x14ac:dyDescent="0.3">
      <c r="B1232" s="39">
        <v>45917</v>
      </c>
      <c r="D1232" s="36" t="s">
        <v>355</v>
      </c>
      <c r="E1232" s="36" t="s">
        <v>832</v>
      </c>
      <c r="F1232" s="36" t="s">
        <v>137</v>
      </c>
      <c r="L1232" s="42">
        <v>-60</v>
      </c>
    </row>
    <row r="1233" spans="2:12" ht="14.4" x14ac:dyDescent="0.3">
      <c r="B1233" s="39">
        <v>45917</v>
      </c>
      <c r="D1233" s="36" t="s">
        <v>355</v>
      </c>
      <c r="E1233" s="36" t="s">
        <v>833</v>
      </c>
      <c r="F1233" s="36" t="s">
        <v>137</v>
      </c>
      <c r="L1233" s="42">
        <v>-2.15</v>
      </c>
    </row>
    <row r="1234" spans="2:12" ht="14.4" x14ac:dyDescent="0.3">
      <c r="B1234" s="39">
        <v>45917</v>
      </c>
      <c r="D1234" s="36" t="s">
        <v>355</v>
      </c>
      <c r="E1234" s="36" t="s">
        <v>834</v>
      </c>
      <c r="F1234" s="36" t="s">
        <v>137</v>
      </c>
      <c r="L1234" s="42">
        <v>-60</v>
      </c>
    </row>
    <row r="1235" spans="2:12" ht="14.4" x14ac:dyDescent="0.3">
      <c r="B1235" s="39">
        <v>45918</v>
      </c>
      <c r="D1235" s="36" t="s">
        <v>355</v>
      </c>
      <c r="E1235" s="36" t="s">
        <v>835</v>
      </c>
      <c r="F1235" s="36" t="s">
        <v>137</v>
      </c>
      <c r="L1235" s="42">
        <v>-60</v>
      </c>
    </row>
    <row r="1236" spans="2:12" ht="14.4" x14ac:dyDescent="0.3">
      <c r="B1236" s="39">
        <v>45918</v>
      </c>
      <c r="D1236" s="36" t="s">
        <v>355</v>
      </c>
      <c r="E1236" s="36" t="s">
        <v>836</v>
      </c>
      <c r="F1236" s="36" t="s">
        <v>137</v>
      </c>
      <c r="L1236" s="42">
        <v>-60</v>
      </c>
    </row>
    <row r="1237" spans="2:12" ht="14.4" x14ac:dyDescent="0.3">
      <c r="B1237" s="39">
        <v>45918</v>
      </c>
      <c r="D1237" s="36" t="s">
        <v>355</v>
      </c>
      <c r="E1237" s="36" t="s">
        <v>837</v>
      </c>
      <c r="F1237" s="36" t="s">
        <v>137</v>
      </c>
      <c r="L1237" s="42">
        <v>-60</v>
      </c>
    </row>
    <row r="1238" spans="2:12" ht="14.4" x14ac:dyDescent="0.3">
      <c r="B1238" s="39">
        <v>45918</v>
      </c>
      <c r="D1238" s="36" t="s">
        <v>355</v>
      </c>
      <c r="E1238" s="36" t="s">
        <v>838</v>
      </c>
      <c r="F1238" s="36" t="s">
        <v>137</v>
      </c>
      <c r="L1238" s="42">
        <v>-60</v>
      </c>
    </row>
    <row r="1239" spans="2:12" ht="14.4" x14ac:dyDescent="0.3">
      <c r="B1239" s="39">
        <v>45918</v>
      </c>
      <c r="D1239" s="36" t="s">
        <v>355</v>
      </c>
      <c r="E1239" s="36" t="s">
        <v>839</v>
      </c>
      <c r="F1239" s="36" t="s">
        <v>137</v>
      </c>
      <c r="L1239" s="42">
        <v>-60</v>
      </c>
    </row>
    <row r="1240" spans="2:12" ht="14.4" x14ac:dyDescent="0.3">
      <c r="B1240" s="39">
        <v>45918</v>
      </c>
      <c r="D1240" s="36" t="s">
        <v>355</v>
      </c>
      <c r="E1240" s="36" t="s">
        <v>840</v>
      </c>
      <c r="F1240" s="36" t="s">
        <v>137</v>
      </c>
      <c r="L1240" s="42">
        <v>-60</v>
      </c>
    </row>
    <row r="1241" spans="2:12" ht="14.4" x14ac:dyDescent="0.3">
      <c r="B1241" s="39">
        <v>45918</v>
      </c>
      <c r="D1241" s="36" t="s">
        <v>519</v>
      </c>
      <c r="E1241" s="36" t="s">
        <v>284</v>
      </c>
      <c r="F1241" s="36" t="s">
        <v>343</v>
      </c>
      <c r="L1241" s="42">
        <v>-20</v>
      </c>
    </row>
    <row r="1242" spans="2:12" ht="14.4" x14ac:dyDescent="0.3">
      <c r="B1242" s="39">
        <v>45919</v>
      </c>
      <c r="D1242" s="36" t="s">
        <v>355</v>
      </c>
      <c r="E1242" s="36" t="s">
        <v>841</v>
      </c>
      <c r="F1242" s="36" t="s">
        <v>137</v>
      </c>
      <c r="L1242" s="42">
        <v>-60</v>
      </c>
    </row>
    <row r="1243" spans="2:12" ht="14.4" x14ac:dyDescent="0.3">
      <c r="B1243" s="39">
        <v>45919</v>
      </c>
      <c r="D1243" s="36" t="s">
        <v>110</v>
      </c>
      <c r="E1243" s="36" t="s">
        <v>311</v>
      </c>
      <c r="F1243" s="36" t="s">
        <v>310</v>
      </c>
      <c r="K1243" s="42">
        <v>-56997</v>
      </c>
      <c r="L1243" s="42">
        <v>56997</v>
      </c>
    </row>
    <row r="1244" spans="2:12" ht="14.4" x14ac:dyDescent="0.3">
      <c r="B1244" s="39">
        <v>45919</v>
      </c>
      <c r="D1244" s="36" t="s">
        <v>519</v>
      </c>
      <c r="E1244" s="36" t="s">
        <v>858</v>
      </c>
      <c r="F1244" s="36" t="s">
        <v>859</v>
      </c>
      <c r="L1244" s="42">
        <v>-29</v>
      </c>
    </row>
    <row r="1245" spans="2:12" ht="14.4" x14ac:dyDescent="0.3">
      <c r="B1245" s="39">
        <v>45920</v>
      </c>
      <c r="D1245" s="36" t="s">
        <v>355</v>
      </c>
      <c r="E1245" s="36" t="s">
        <v>842</v>
      </c>
      <c r="F1245" s="36" t="s">
        <v>137</v>
      </c>
      <c r="L1245" s="42">
        <v>-9</v>
      </c>
    </row>
    <row r="1246" spans="2:12" ht="14.4" x14ac:dyDescent="0.3">
      <c r="B1246" s="39">
        <v>45920</v>
      </c>
      <c r="D1246" s="36" t="s">
        <v>355</v>
      </c>
      <c r="E1246" s="36" t="s">
        <v>843</v>
      </c>
      <c r="F1246" s="36" t="s">
        <v>137</v>
      </c>
      <c r="L1246" s="42">
        <v>-8</v>
      </c>
    </row>
    <row r="1247" spans="2:12" ht="14.4" x14ac:dyDescent="0.3">
      <c r="B1247" s="39">
        <v>45920</v>
      </c>
      <c r="D1247" s="36" t="s">
        <v>355</v>
      </c>
      <c r="E1247" s="36" t="s">
        <v>844</v>
      </c>
      <c r="F1247" s="36" t="s">
        <v>137</v>
      </c>
      <c r="L1247" s="42">
        <v>-60</v>
      </c>
    </row>
    <row r="1248" spans="2:12" ht="14.4" x14ac:dyDescent="0.3">
      <c r="B1248" s="39">
        <v>45920</v>
      </c>
      <c r="D1248" s="36" t="s">
        <v>355</v>
      </c>
      <c r="E1248" s="36" t="s">
        <v>845</v>
      </c>
      <c r="F1248" s="36" t="s">
        <v>137</v>
      </c>
      <c r="L1248" s="42">
        <v>-60</v>
      </c>
    </row>
    <row r="1249" spans="2:12" ht="14.4" x14ac:dyDescent="0.3">
      <c r="B1249" s="39">
        <v>45920</v>
      </c>
      <c r="D1249" s="36" t="s">
        <v>355</v>
      </c>
      <c r="E1249" s="36" t="s">
        <v>846</v>
      </c>
      <c r="F1249" s="36" t="s">
        <v>137</v>
      </c>
      <c r="L1249" s="42">
        <v>-60</v>
      </c>
    </row>
    <row r="1250" spans="2:12" ht="14.4" x14ac:dyDescent="0.3">
      <c r="B1250" s="39">
        <v>45920</v>
      </c>
      <c r="D1250" s="36" t="s">
        <v>355</v>
      </c>
      <c r="E1250" s="36" t="s">
        <v>847</v>
      </c>
      <c r="F1250" s="36" t="s">
        <v>137</v>
      </c>
      <c r="L1250" s="42">
        <v>-7</v>
      </c>
    </row>
    <row r="1251" spans="2:12" ht="14.4" x14ac:dyDescent="0.3">
      <c r="B1251" s="39">
        <v>45920</v>
      </c>
      <c r="D1251" s="36" t="s">
        <v>355</v>
      </c>
      <c r="E1251" s="36" t="s">
        <v>848</v>
      </c>
      <c r="F1251" s="36" t="s">
        <v>137</v>
      </c>
      <c r="L1251" s="42">
        <v>-6</v>
      </c>
    </row>
    <row r="1252" spans="2:12" ht="14.4" x14ac:dyDescent="0.3">
      <c r="B1252" s="39">
        <v>45920</v>
      </c>
      <c r="D1252" s="36" t="s">
        <v>355</v>
      </c>
      <c r="E1252" s="36" t="s">
        <v>849</v>
      </c>
      <c r="F1252" s="36" t="s">
        <v>137</v>
      </c>
      <c r="L1252" s="42">
        <v>-5</v>
      </c>
    </row>
    <row r="1253" spans="2:12" ht="14.4" x14ac:dyDescent="0.3">
      <c r="B1253" s="39">
        <v>45920</v>
      </c>
      <c r="D1253" s="36" t="s">
        <v>355</v>
      </c>
      <c r="E1253" s="36" t="s">
        <v>850</v>
      </c>
      <c r="F1253" s="36" t="s">
        <v>137</v>
      </c>
      <c r="L1253" s="42">
        <v>-4</v>
      </c>
    </row>
    <row r="1254" spans="2:12" ht="14.4" x14ac:dyDescent="0.3">
      <c r="B1254" s="39">
        <v>45920</v>
      </c>
      <c r="D1254" s="36" t="s">
        <v>355</v>
      </c>
      <c r="E1254" s="36" t="s">
        <v>851</v>
      </c>
      <c r="F1254" s="36" t="s">
        <v>137</v>
      </c>
      <c r="L1254" s="42">
        <v>-3</v>
      </c>
    </row>
    <row r="1255" spans="2:12" ht="14.4" x14ac:dyDescent="0.3">
      <c r="B1255" s="39">
        <v>45920</v>
      </c>
      <c r="D1255" s="36" t="s">
        <v>355</v>
      </c>
      <c r="E1255" s="36" t="s">
        <v>852</v>
      </c>
      <c r="F1255" s="36" t="s">
        <v>137</v>
      </c>
      <c r="L1255" s="42">
        <v>-60</v>
      </c>
    </row>
    <row r="1256" spans="2:12" ht="14.4" x14ac:dyDescent="0.3">
      <c r="B1256" s="39">
        <v>45920</v>
      </c>
      <c r="D1256" s="36" t="s">
        <v>519</v>
      </c>
      <c r="E1256" s="36" t="s">
        <v>853</v>
      </c>
      <c r="F1256" s="36" t="s">
        <v>137</v>
      </c>
      <c r="L1256" s="42">
        <v>-499.37</v>
      </c>
    </row>
    <row r="1257" spans="2:12" ht="14.4" x14ac:dyDescent="0.3">
      <c r="B1257" s="39">
        <v>45920</v>
      </c>
      <c r="D1257" s="36" t="s">
        <v>355</v>
      </c>
      <c r="E1257" s="36" t="s">
        <v>854</v>
      </c>
      <c r="F1257" s="36" t="s">
        <v>137</v>
      </c>
      <c r="L1257" s="42">
        <v>-60</v>
      </c>
    </row>
    <row r="1258" spans="2:12" ht="14.4" x14ac:dyDescent="0.3">
      <c r="B1258" s="39">
        <v>45920</v>
      </c>
      <c r="D1258" s="36" t="s">
        <v>355</v>
      </c>
      <c r="E1258" s="36" t="s">
        <v>855</v>
      </c>
      <c r="F1258" s="36" t="s">
        <v>137</v>
      </c>
      <c r="L1258" s="42">
        <v>-2</v>
      </c>
    </row>
    <row r="1259" spans="2:12" ht="14.4" x14ac:dyDescent="0.3">
      <c r="B1259" s="39">
        <v>45920</v>
      </c>
      <c r="D1259" s="36" t="s">
        <v>355</v>
      </c>
      <c r="E1259" s="36" t="s">
        <v>856</v>
      </c>
      <c r="F1259" s="36" t="s">
        <v>137</v>
      </c>
      <c r="L1259" s="42">
        <v>-60</v>
      </c>
    </row>
    <row r="1260" spans="2:12" ht="14.4" x14ac:dyDescent="0.3">
      <c r="B1260" s="39">
        <v>45920</v>
      </c>
      <c r="D1260" s="36" t="s">
        <v>355</v>
      </c>
      <c r="E1260" s="36" t="s">
        <v>857</v>
      </c>
      <c r="F1260" s="36" t="s">
        <v>137</v>
      </c>
      <c r="L1260" s="42">
        <v>-60</v>
      </c>
    </row>
    <row r="1261" spans="2:12" ht="14.4" x14ac:dyDescent="0.3">
      <c r="B1261" s="39">
        <v>45920</v>
      </c>
      <c r="D1261" s="36" t="s">
        <v>519</v>
      </c>
      <c r="E1261" s="36" t="s">
        <v>768</v>
      </c>
      <c r="F1261" s="36" t="s">
        <v>70</v>
      </c>
      <c r="L1261" s="42">
        <v>-13.54</v>
      </c>
    </row>
    <row r="1262" spans="2:12" ht="14.4" x14ac:dyDescent="0.3">
      <c r="B1262" s="39">
        <v>45921</v>
      </c>
      <c r="D1262" s="36" t="s">
        <v>355</v>
      </c>
      <c r="E1262" s="36" t="s">
        <v>869</v>
      </c>
      <c r="F1262" s="36" t="s">
        <v>137</v>
      </c>
      <c r="L1262" s="42">
        <v>-60</v>
      </c>
    </row>
    <row r="1263" spans="2:12" ht="14.4" x14ac:dyDescent="0.3">
      <c r="B1263" s="39">
        <v>45921</v>
      </c>
      <c r="D1263" s="36" t="s">
        <v>355</v>
      </c>
      <c r="E1263" s="36" t="s">
        <v>870</v>
      </c>
      <c r="F1263" s="36" t="s">
        <v>137</v>
      </c>
      <c r="L1263" s="42">
        <v>-14</v>
      </c>
    </row>
    <row r="1264" spans="2:12" ht="14.4" x14ac:dyDescent="0.3">
      <c r="B1264" s="39">
        <v>45921</v>
      </c>
      <c r="D1264" s="36" t="s">
        <v>355</v>
      </c>
      <c r="E1264" s="36" t="s">
        <v>871</v>
      </c>
      <c r="F1264" s="36" t="s">
        <v>137</v>
      </c>
      <c r="L1264" s="42">
        <v>-60</v>
      </c>
    </row>
    <row r="1265" spans="2:12" ht="14.4" x14ac:dyDescent="0.3">
      <c r="B1265" s="39">
        <v>45921</v>
      </c>
      <c r="D1265" s="36" t="s">
        <v>355</v>
      </c>
      <c r="E1265" s="36" t="s">
        <v>872</v>
      </c>
      <c r="F1265" s="36" t="s">
        <v>137</v>
      </c>
      <c r="L1265" s="42">
        <v>-12</v>
      </c>
    </row>
    <row r="1266" spans="2:12" ht="14.4" x14ac:dyDescent="0.3">
      <c r="B1266" s="39">
        <v>45921</v>
      </c>
      <c r="D1266" s="36" t="s">
        <v>355</v>
      </c>
      <c r="E1266" s="36" t="s">
        <v>873</v>
      </c>
      <c r="F1266" s="36" t="s">
        <v>137</v>
      </c>
      <c r="L1266" s="42">
        <v>-60</v>
      </c>
    </row>
    <row r="1267" spans="2:12" ht="14.4" x14ac:dyDescent="0.3">
      <c r="B1267" s="39">
        <v>45921</v>
      </c>
      <c r="D1267" s="36" t="s">
        <v>355</v>
      </c>
      <c r="E1267" s="36" t="s">
        <v>874</v>
      </c>
      <c r="F1267" s="36" t="s">
        <v>137</v>
      </c>
      <c r="L1267" s="42">
        <v>-11</v>
      </c>
    </row>
    <row r="1268" spans="2:12" ht="14.4" x14ac:dyDescent="0.3">
      <c r="B1268" s="39">
        <v>45921</v>
      </c>
      <c r="D1268" s="36" t="s">
        <v>355</v>
      </c>
      <c r="E1268" s="36" t="s">
        <v>875</v>
      </c>
      <c r="F1268" s="36" t="s">
        <v>137</v>
      </c>
      <c r="L1268" s="42">
        <v>-60</v>
      </c>
    </row>
    <row r="1269" spans="2:12" ht="14.4" x14ac:dyDescent="0.3">
      <c r="B1269" s="39">
        <v>45921</v>
      </c>
      <c r="D1269" s="36" t="s">
        <v>355</v>
      </c>
      <c r="E1269" s="36" t="s">
        <v>876</v>
      </c>
      <c r="F1269" s="36" t="s">
        <v>137</v>
      </c>
      <c r="L1269" s="42">
        <v>-10</v>
      </c>
    </row>
    <row r="1270" spans="2:12" ht="14.4" x14ac:dyDescent="0.3">
      <c r="B1270" s="39">
        <v>45922</v>
      </c>
      <c r="D1270" s="36" t="s">
        <v>355</v>
      </c>
      <c r="E1270" s="36" t="s">
        <v>877</v>
      </c>
      <c r="F1270" s="36" t="s">
        <v>137</v>
      </c>
      <c r="L1270" s="42">
        <v>-18</v>
      </c>
    </row>
    <row r="1271" spans="2:12" ht="14.4" x14ac:dyDescent="0.3">
      <c r="B1271" s="39">
        <v>45922</v>
      </c>
      <c r="D1271" s="36" t="s">
        <v>355</v>
      </c>
      <c r="E1271" s="36" t="s">
        <v>878</v>
      </c>
      <c r="F1271" s="36" t="s">
        <v>137</v>
      </c>
      <c r="L1271" s="42">
        <v>-60</v>
      </c>
    </row>
    <row r="1272" spans="2:12" ht="14.4" x14ac:dyDescent="0.3">
      <c r="B1272" s="39">
        <v>45922</v>
      </c>
      <c r="D1272" s="36" t="s">
        <v>355</v>
      </c>
      <c r="E1272" s="36" t="s">
        <v>879</v>
      </c>
      <c r="F1272" s="36" t="s">
        <v>137</v>
      </c>
      <c r="L1272" s="42">
        <v>-60</v>
      </c>
    </row>
    <row r="1273" spans="2:12" ht="14.4" x14ac:dyDescent="0.3">
      <c r="B1273" s="39">
        <v>45922</v>
      </c>
      <c r="D1273" s="36" t="s">
        <v>355</v>
      </c>
      <c r="E1273" s="36" t="s">
        <v>880</v>
      </c>
      <c r="F1273" s="36" t="s">
        <v>137</v>
      </c>
      <c r="L1273" s="42">
        <v>-16</v>
      </c>
    </row>
    <row r="1274" spans="2:12" ht="14.4" x14ac:dyDescent="0.3">
      <c r="B1274" s="39">
        <v>45922</v>
      </c>
      <c r="D1274" s="36" t="s">
        <v>355</v>
      </c>
      <c r="E1274" s="36" t="s">
        <v>881</v>
      </c>
      <c r="F1274" s="36" t="s">
        <v>137</v>
      </c>
      <c r="L1274" s="42">
        <v>-60</v>
      </c>
    </row>
    <row r="1275" spans="2:12" ht="14.4" x14ac:dyDescent="0.3">
      <c r="B1275" s="39">
        <v>45922</v>
      </c>
      <c r="D1275" s="36" t="s">
        <v>57</v>
      </c>
      <c r="E1275" s="36" t="s">
        <v>941</v>
      </c>
      <c r="F1275" s="36" t="s">
        <v>282</v>
      </c>
      <c r="L1275" s="42">
        <v>-80.59</v>
      </c>
    </row>
    <row r="1276" spans="2:12" ht="14.4" x14ac:dyDescent="0.3">
      <c r="B1276" s="39">
        <v>45923</v>
      </c>
      <c r="D1276" s="36" t="s">
        <v>355</v>
      </c>
      <c r="E1276" s="36" t="s">
        <v>882</v>
      </c>
      <c r="F1276" s="36" t="s">
        <v>137</v>
      </c>
      <c r="L1276" s="42">
        <v>-60</v>
      </c>
    </row>
    <row r="1277" spans="2:12" ht="14.4" x14ac:dyDescent="0.3">
      <c r="B1277" s="39">
        <v>45923</v>
      </c>
      <c r="D1277" s="36" t="s">
        <v>355</v>
      </c>
      <c r="E1277" s="36" t="s">
        <v>883</v>
      </c>
      <c r="F1277" s="36" t="s">
        <v>137</v>
      </c>
      <c r="L1277" s="42">
        <v>-60</v>
      </c>
    </row>
    <row r="1278" spans="2:12" ht="14.4" x14ac:dyDescent="0.3">
      <c r="B1278" s="39">
        <v>45923</v>
      </c>
      <c r="D1278" s="36" t="s">
        <v>355</v>
      </c>
      <c r="E1278" s="36" t="s">
        <v>884</v>
      </c>
      <c r="F1278" s="36" t="s">
        <v>137</v>
      </c>
      <c r="L1278" s="42">
        <v>-60</v>
      </c>
    </row>
    <row r="1279" spans="2:12" ht="14.4" x14ac:dyDescent="0.3">
      <c r="B1279" s="39">
        <v>45923</v>
      </c>
      <c r="D1279" s="36" t="s">
        <v>355</v>
      </c>
      <c r="E1279" s="36" t="s">
        <v>885</v>
      </c>
      <c r="F1279" s="36" t="s">
        <v>137</v>
      </c>
      <c r="L1279" s="42">
        <v>-20</v>
      </c>
    </row>
    <row r="1280" spans="2:12" ht="14.4" x14ac:dyDescent="0.3">
      <c r="B1280" s="39">
        <v>45923</v>
      </c>
      <c r="D1280" s="36" t="s">
        <v>355</v>
      </c>
      <c r="E1280" s="36" t="s">
        <v>886</v>
      </c>
      <c r="F1280" s="36" t="s">
        <v>137</v>
      </c>
      <c r="L1280" s="42">
        <v>-60</v>
      </c>
    </row>
    <row r="1281" spans="2:12" ht="14.4" x14ac:dyDescent="0.3">
      <c r="B1281" s="39">
        <v>45923</v>
      </c>
      <c r="D1281" s="36" t="s">
        <v>355</v>
      </c>
      <c r="E1281" s="36" t="s">
        <v>887</v>
      </c>
      <c r="F1281" s="36" t="s">
        <v>137</v>
      </c>
      <c r="L1281" s="42">
        <v>-60</v>
      </c>
    </row>
    <row r="1282" spans="2:12" ht="14.4" x14ac:dyDescent="0.3">
      <c r="B1282" s="39">
        <v>45923</v>
      </c>
      <c r="D1282" s="36" t="s">
        <v>57</v>
      </c>
      <c r="E1282" s="36" t="s">
        <v>346</v>
      </c>
      <c r="F1282" s="36" t="s">
        <v>193</v>
      </c>
      <c r="L1282" s="42">
        <v>-52.5</v>
      </c>
    </row>
    <row r="1283" spans="2:12" ht="14.4" x14ac:dyDescent="0.3">
      <c r="B1283" s="39">
        <v>45923</v>
      </c>
      <c r="D1283" s="36" t="s">
        <v>355</v>
      </c>
      <c r="E1283" s="36" t="s">
        <v>942</v>
      </c>
      <c r="F1283" s="36" t="s">
        <v>953</v>
      </c>
      <c r="L1283" s="42">
        <v>-14.9</v>
      </c>
    </row>
    <row r="1284" spans="2:12" ht="14.4" x14ac:dyDescent="0.3">
      <c r="B1284" s="39">
        <v>45924</v>
      </c>
      <c r="D1284" s="36" t="s">
        <v>355</v>
      </c>
      <c r="E1284" s="36" t="s">
        <v>888</v>
      </c>
      <c r="F1284" s="36" t="s">
        <v>137</v>
      </c>
      <c r="L1284" s="42">
        <v>-60</v>
      </c>
    </row>
    <row r="1285" spans="2:12" ht="14.4" x14ac:dyDescent="0.3">
      <c r="B1285" s="39">
        <v>45925</v>
      </c>
      <c r="D1285" s="36" t="s">
        <v>355</v>
      </c>
      <c r="E1285" s="36" t="s">
        <v>889</v>
      </c>
      <c r="F1285" s="36" t="s">
        <v>137</v>
      </c>
      <c r="L1285" s="42">
        <v>-60</v>
      </c>
    </row>
    <row r="1286" spans="2:12" ht="14.4" x14ac:dyDescent="0.3">
      <c r="B1286" s="39">
        <v>45925</v>
      </c>
      <c r="D1286" s="36" t="s">
        <v>355</v>
      </c>
      <c r="E1286" s="36" t="s">
        <v>890</v>
      </c>
      <c r="F1286" s="36" t="s">
        <v>137</v>
      </c>
      <c r="L1286" s="42">
        <v>-60</v>
      </c>
    </row>
    <row r="1287" spans="2:12" ht="14.4" x14ac:dyDescent="0.3">
      <c r="B1287" s="39">
        <v>45925</v>
      </c>
      <c r="D1287" s="36" t="s">
        <v>355</v>
      </c>
      <c r="E1287" s="36" t="s">
        <v>891</v>
      </c>
      <c r="F1287" s="36" t="s">
        <v>137</v>
      </c>
      <c r="L1287" s="42">
        <v>-60</v>
      </c>
    </row>
    <row r="1288" spans="2:12" ht="14.4" x14ac:dyDescent="0.3">
      <c r="B1288" s="39">
        <v>45925</v>
      </c>
      <c r="D1288" s="36" t="s">
        <v>355</v>
      </c>
      <c r="E1288" s="36" t="s">
        <v>892</v>
      </c>
      <c r="F1288" s="36" t="s">
        <v>137</v>
      </c>
      <c r="L1288" s="42">
        <v>-60</v>
      </c>
    </row>
    <row r="1289" spans="2:12" ht="14.4" x14ac:dyDescent="0.3">
      <c r="B1289" s="39">
        <v>45925</v>
      </c>
      <c r="D1289" s="36" t="s">
        <v>355</v>
      </c>
      <c r="E1289" s="36" t="s">
        <v>893</v>
      </c>
      <c r="F1289" s="36" t="s">
        <v>137</v>
      </c>
      <c r="L1289" s="42">
        <v>-60</v>
      </c>
    </row>
    <row r="1290" spans="2:12" ht="14.4" x14ac:dyDescent="0.3">
      <c r="B1290" s="39">
        <v>45925</v>
      </c>
      <c r="D1290" s="36" t="s">
        <v>355</v>
      </c>
      <c r="E1290" s="36" t="s">
        <v>894</v>
      </c>
      <c r="F1290" s="36" t="s">
        <v>137</v>
      </c>
      <c r="L1290" s="42">
        <v>-60</v>
      </c>
    </row>
    <row r="1291" spans="2:12" ht="14.4" x14ac:dyDescent="0.3">
      <c r="B1291" s="39">
        <v>45925</v>
      </c>
      <c r="D1291" s="36" t="s">
        <v>57</v>
      </c>
      <c r="E1291" s="36" t="s">
        <v>281</v>
      </c>
      <c r="F1291" s="36" t="s">
        <v>282</v>
      </c>
      <c r="L1291" s="42">
        <v>-20</v>
      </c>
    </row>
    <row r="1292" spans="2:12" ht="14.4" x14ac:dyDescent="0.3">
      <c r="B1292" s="39">
        <v>45925</v>
      </c>
      <c r="D1292" s="36" t="s">
        <v>950</v>
      </c>
      <c r="E1292" s="36" t="s">
        <v>943</v>
      </c>
      <c r="F1292" s="36" t="s">
        <v>954</v>
      </c>
      <c r="L1292" s="42">
        <v>-21.54</v>
      </c>
    </row>
    <row r="1293" spans="2:12" ht="14.4" x14ac:dyDescent="0.3">
      <c r="B1293" s="39">
        <v>45926</v>
      </c>
      <c r="D1293" s="36" t="s">
        <v>355</v>
      </c>
      <c r="E1293" s="36" t="s">
        <v>895</v>
      </c>
      <c r="F1293" s="36" t="s">
        <v>137</v>
      </c>
      <c r="L1293" s="42">
        <v>-60</v>
      </c>
    </row>
    <row r="1294" spans="2:12" ht="14.4" x14ac:dyDescent="0.3">
      <c r="B1294" s="39">
        <v>45926</v>
      </c>
      <c r="D1294" s="36" t="s">
        <v>355</v>
      </c>
      <c r="E1294" s="36" t="s">
        <v>896</v>
      </c>
      <c r="F1294" s="36" t="s">
        <v>137</v>
      </c>
      <c r="L1294" s="42">
        <v>-60</v>
      </c>
    </row>
    <row r="1295" spans="2:12" ht="14.4" x14ac:dyDescent="0.3">
      <c r="B1295" s="39">
        <v>45926</v>
      </c>
      <c r="D1295" s="36" t="s">
        <v>110</v>
      </c>
      <c r="E1295" s="36" t="s">
        <v>311</v>
      </c>
      <c r="F1295" s="36" t="s">
        <v>310</v>
      </c>
      <c r="K1295" s="42">
        <v>-5606</v>
      </c>
      <c r="L1295" s="42">
        <v>5606.86</v>
      </c>
    </row>
    <row r="1296" spans="2:12" ht="14.4" x14ac:dyDescent="0.3">
      <c r="B1296" s="39">
        <v>45927</v>
      </c>
      <c r="D1296" s="36" t="s">
        <v>355</v>
      </c>
      <c r="E1296" s="36" t="s">
        <v>897</v>
      </c>
      <c r="F1296" s="36" t="s">
        <v>137</v>
      </c>
      <c r="L1296" s="42">
        <v>-60</v>
      </c>
    </row>
    <row r="1297" spans="2:12" ht="14.4" x14ac:dyDescent="0.3">
      <c r="B1297" s="39">
        <v>45927</v>
      </c>
      <c r="D1297" s="36" t="s">
        <v>355</v>
      </c>
      <c r="E1297" s="36" t="s">
        <v>898</v>
      </c>
      <c r="F1297" s="36" t="s">
        <v>137</v>
      </c>
      <c r="L1297" s="42">
        <v>-60</v>
      </c>
    </row>
    <row r="1298" spans="2:12" ht="14.4" x14ac:dyDescent="0.3">
      <c r="B1298" s="39">
        <v>45927</v>
      </c>
      <c r="D1298" s="36" t="s">
        <v>355</v>
      </c>
      <c r="E1298" s="36" t="s">
        <v>899</v>
      </c>
      <c r="F1298" s="36" t="s">
        <v>137</v>
      </c>
      <c r="L1298" s="42">
        <v>-60</v>
      </c>
    </row>
    <row r="1299" spans="2:12" ht="14.4" x14ac:dyDescent="0.3">
      <c r="B1299" s="39">
        <v>45927</v>
      </c>
      <c r="D1299" s="36" t="s">
        <v>355</v>
      </c>
      <c r="E1299" s="36" t="s">
        <v>900</v>
      </c>
      <c r="F1299" s="36" t="s">
        <v>137</v>
      </c>
      <c r="L1299" s="42">
        <v>-60</v>
      </c>
    </row>
    <row r="1300" spans="2:12" ht="14.4" x14ac:dyDescent="0.3">
      <c r="B1300" s="39">
        <v>45927</v>
      </c>
      <c r="D1300" s="36" t="s">
        <v>355</v>
      </c>
      <c r="E1300" s="36" t="s">
        <v>901</v>
      </c>
      <c r="F1300" s="36" t="s">
        <v>137</v>
      </c>
      <c r="L1300" s="42">
        <v>-60</v>
      </c>
    </row>
    <row r="1301" spans="2:12" ht="14.4" x14ac:dyDescent="0.3">
      <c r="B1301" s="39">
        <v>45927</v>
      </c>
      <c r="D1301" s="36" t="s">
        <v>355</v>
      </c>
      <c r="E1301" s="36" t="s">
        <v>902</v>
      </c>
      <c r="F1301" s="36" t="s">
        <v>137</v>
      </c>
      <c r="L1301" s="42">
        <v>-60</v>
      </c>
    </row>
    <row r="1302" spans="2:12" ht="14.4" x14ac:dyDescent="0.3">
      <c r="B1302" s="39">
        <v>45927</v>
      </c>
      <c r="D1302" s="36" t="s">
        <v>57</v>
      </c>
      <c r="E1302" s="36" t="s">
        <v>951</v>
      </c>
      <c r="F1302" s="36" t="s">
        <v>955</v>
      </c>
      <c r="L1302" s="42">
        <v>-684</v>
      </c>
    </row>
    <row r="1303" spans="2:12" ht="14.4" x14ac:dyDescent="0.3">
      <c r="B1303" s="39">
        <v>45928</v>
      </c>
      <c r="D1303" s="36" t="s">
        <v>355</v>
      </c>
      <c r="E1303" s="36" t="s">
        <v>903</v>
      </c>
      <c r="F1303" s="36" t="s">
        <v>137</v>
      </c>
      <c r="L1303" s="42">
        <v>-60</v>
      </c>
    </row>
    <row r="1304" spans="2:12" ht="14.4" x14ac:dyDescent="0.3">
      <c r="B1304" s="39">
        <v>45928</v>
      </c>
      <c r="D1304" s="36" t="s">
        <v>355</v>
      </c>
      <c r="E1304" s="36" t="s">
        <v>904</v>
      </c>
      <c r="F1304" s="36" t="s">
        <v>137</v>
      </c>
      <c r="L1304" s="42">
        <v>-60</v>
      </c>
    </row>
    <row r="1305" spans="2:12" ht="14.4" x14ac:dyDescent="0.3">
      <c r="B1305" s="39">
        <v>45928</v>
      </c>
      <c r="D1305" s="36" t="s">
        <v>355</v>
      </c>
      <c r="E1305" s="36" t="s">
        <v>905</v>
      </c>
      <c r="F1305" s="36" t="s">
        <v>137</v>
      </c>
      <c r="L1305" s="42">
        <v>-60</v>
      </c>
    </row>
    <row r="1306" spans="2:12" ht="14.4" x14ac:dyDescent="0.3">
      <c r="B1306" s="39">
        <v>45928</v>
      </c>
      <c r="D1306" s="36" t="s">
        <v>355</v>
      </c>
      <c r="E1306" s="36" t="s">
        <v>906</v>
      </c>
      <c r="F1306" s="36" t="s">
        <v>137</v>
      </c>
      <c r="L1306" s="42">
        <v>-60</v>
      </c>
    </row>
    <row r="1307" spans="2:12" ht="14.4" x14ac:dyDescent="0.3">
      <c r="B1307" s="39">
        <v>45928</v>
      </c>
      <c r="D1307" s="36" t="s">
        <v>940</v>
      </c>
      <c r="E1307" s="36" t="s">
        <v>768</v>
      </c>
      <c r="F1307" s="36" t="s">
        <v>70</v>
      </c>
      <c r="L1307" s="42">
        <v>-21.21</v>
      </c>
    </row>
    <row r="1308" spans="2:12" ht="14.4" x14ac:dyDescent="0.3">
      <c r="B1308" s="39">
        <v>45928</v>
      </c>
      <c r="D1308" s="36" t="s">
        <v>57</v>
      </c>
      <c r="E1308" s="36" t="s">
        <v>768</v>
      </c>
      <c r="F1308" s="36" t="s">
        <v>70</v>
      </c>
      <c r="L1308" s="42">
        <v>-13.52</v>
      </c>
    </row>
    <row r="1309" spans="2:12" ht="14.4" x14ac:dyDescent="0.3">
      <c r="B1309" s="39">
        <v>45929</v>
      </c>
      <c r="D1309" s="36" t="s">
        <v>355</v>
      </c>
      <c r="E1309" s="36" t="s">
        <v>907</v>
      </c>
      <c r="F1309" s="36" t="s">
        <v>137</v>
      </c>
      <c r="L1309" s="42">
        <v>-60</v>
      </c>
    </row>
    <row r="1310" spans="2:12" ht="14.4" x14ac:dyDescent="0.3">
      <c r="B1310" s="39">
        <v>45929</v>
      </c>
      <c r="D1310" s="36" t="s">
        <v>355</v>
      </c>
      <c r="E1310" s="36" t="s">
        <v>908</v>
      </c>
      <c r="F1310" s="36" t="s">
        <v>137</v>
      </c>
      <c r="L1310" s="42">
        <v>-60</v>
      </c>
    </row>
    <row r="1311" spans="2:12" ht="14.4" x14ac:dyDescent="0.3">
      <c r="B1311" s="39">
        <v>45929</v>
      </c>
      <c r="D1311" s="36" t="s">
        <v>355</v>
      </c>
      <c r="E1311" s="36" t="s">
        <v>909</v>
      </c>
      <c r="F1311" s="36" t="s">
        <v>137</v>
      </c>
      <c r="L1311" s="42">
        <v>-60</v>
      </c>
    </row>
    <row r="1312" spans="2:12" ht="14.4" x14ac:dyDescent="0.3">
      <c r="B1312" s="39">
        <v>45929</v>
      </c>
      <c r="D1312" s="36" t="s">
        <v>355</v>
      </c>
      <c r="E1312" s="36" t="s">
        <v>910</v>
      </c>
      <c r="F1312" s="36" t="s">
        <v>137</v>
      </c>
      <c r="L1312" s="42">
        <v>-60</v>
      </c>
    </row>
    <row r="1313" spans="2:12" ht="14.4" x14ac:dyDescent="0.3">
      <c r="B1313" s="39">
        <v>45930</v>
      </c>
      <c r="D1313" s="36" t="s">
        <v>355</v>
      </c>
      <c r="E1313" s="36" t="s">
        <v>911</v>
      </c>
      <c r="F1313" s="36" t="s">
        <v>137</v>
      </c>
      <c r="L1313" s="42">
        <v>-60</v>
      </c>
    </row>
    <row r="1314" spans="2:12" ht="14.4" x14ac:dyDescent="0.3">
      <c r="B1314" s="39">
        <v>45930</v>
      </c>
      <c r="D1314" s="36" t="s">
        <v>355</v>
      </c>
      <c r="E1314" s="36" t="s">
        <v>912</v>
      </c>
      <c r="F1314" s="36" t="s">
        <v>137</v>
      </c>
      <c r="L1314" s="42">
        <v>-60</v>
      </c>
    </row>
    <row r="1315" spans="2:12" ht="14.4" x14ac:dyDescent="0.3">
      <c r="B1315" s="39">
        <v>45930</v>
      </c>
      <c r="D1315" s="36" t="s">
        <v>355</v>
      </c>
      <c r="E1315" s="36" t="s">
        <v>913</v>
      </c>
      <c r="F1315" s="36" t="s">
        <v>137</v>
      </c>
      <c r="L1315" s="42">
        <v>-60</v>
      </c>
    </row>
    <row r="1316" spans="2:12" ht="14.4" x14ac:dyDescent="0.3">
      <c r="B1316" s="39">
        <v>45930</v>
      </c>
      <c r="D1316" s="36" t="s">
        <v>519</v>
      </c>
      <c r="E1316" s="36" t="s">
        <v>961</v>
      </c>
      <c r="F1316" s="36" t="s">
        <v>524</v>
      </c>
      <c r="H1316" s="42">
        <v>6771</v>
      </c>
      <c r="K1316" s="42">
        <v>64389</v>
      </c>
    </row>
    <row r="1317" spans="2:12" ht="14.4" x14ac:dyDescent="0.3">
      <c r="B1317" s="39">
        <v>45930</v>
      </c>
      <c r="D1317" s="36" t="s">
        <v>355</v>
      </c>
      <c r="E1317" s="36" t="s">
        <v>963</v>
      </c>
      <c r="F1317" s="36" t="s">
        <v>524</v>
      </c>
      <c r="K1317" s="42">
        <v>6965</v>
      </c>
    </row>
    <row r="1318" spans="2:12" ht="14.4" x14ac:dyDescent="0.3">
      <c r="B1318" s="39">
        <v>45930</v>
      </c>
      <c r="D1318" s="36" t="s">
        <v>194</v>
      </c>
      <c r="E1318" s="36" t="s">
        <v>1126</v>
      </c>
      <c r="F1318" s="36" t="s">
        <v>524</v>
      </c>
      <c r="H1318" s="42">
        <v>8984</v>
      </c>
    </row>
    <row r="1319" spans="2:12" ht="14.4" x14ac:dyDescent="0.3">
      <c r="B1319" s="39">
        <v>45931</v>
      </c>
      <c r="D1319" s="36" t="s">
        <v>355</v>
      </c>
      <c r="E1319" s="36" t="s">
        <v>914</v>
      </c>
      <c r="F1319" s="36" t="s">
        <v>137</v>
      </c>
      <c r="L1319" s="42">
        <v>-60</v>
      </c>
    </row>
    <row r="1320" spans="2:12" ht="14.4" x14ac:dyDescent="0.3">
      <c r="B1320" s="39">
        <v>45931</v>
      </c>
      <c r="D1320" s="36" t="s">
        <v>355</v>
      </c>
      <c r="E1320" s="36" t="s">
        <v>915</v>
      </c>
      <c r="F1320" s="36" t="s">
        <v>137</v>
      </c>
      <c r="L1320" s="42">
        <v>-60</v>
      </c>
    </row>
    <row r="1321" spans="2:12" ht="14.4" x14ac:dyDescent="0.3">
      <c r="B1321" s="39">
        <v>45931</v>
      </c>
      <c r="D1321" s="36" t="s">
        <v>355</v>
      </c>
      <c r="E1321" s="36" t="s">
        <v>916</v>
      </c>
      <c r="F1321" s="36" t="s">
        <v>137</v>
      </c>
      <c r="L1321" s="42">
        <v>-60</v>
      </c>
    </row>
    <row r="1322" spans="2:12" ht="14.4" x14ac:dyDescent="0.3">
      <c r="B1322" s="39">
        <v>45931</v>
      </c>
      <c r="D1322" s="36" t="s">
        <v>57</v>
      </c>
      <c r="E1322" s="36" t="s">
        <v>944</v>
      </c>
      <c r="F1322" s="36" t="s">
        <v>262</v>
      </c>
      <c r="L1322" s="42">
        <v>-13</v>
      </c>
    </row>
    <row r="1323" spans="2:12" ht="14.4" x14ac:dyDescent="0.3">
      <c r="B1323" s="39">
        <v>45932</v>
      </c>
      <c r="D1323" s="36" t="s">
        <v>355</v>
      </c>
      <c r="E1323" s="36" t="s">
        <v>917</v>
      </c>
      <c r="F1323" s="36" t="s">
        <v>137</v>
      </c>
      <c r="L1323" s="42">
        <v>-60</v>
      </c>
    </row>
    <row r="1324" spans="2:12" ht="14.4" x14ac:dyDescent="0.3">
      <c r="B1324" s="39">
        <v>45932</v>
      </c>
      <c r="D1324" s="36" t="s">
        <v>355</v>
      </c>
      <c r="E1324" s="36" t="s">
        <v>918</v>
      </c>
      <c r="F1324" s="36" t="s">
        <v>137</v>
      </c>
      <c r="L1324" s="42">
        <v>-60</v>
      </c>
    </row>
    <row r="1325" spans="2:12" ht="14.4" x14ac:dyDescent="0.3">
      <c r="B1325" s="39">
        <v>45932</v>
      </c>
      <c r="D1325" s="36" t="s">
        <v>355</v>
      </c>
      <c r="E1325" s="36" t="s">
        <v>919</v>
      </c>
      <c r="F1325" s="36" t="s">
        <v>137</v>
      </c>
      <c r="L1325" s="42">
        <v>-60</v>
      </c>
    </row>
    <row r="1326" spans="2:12" ht="14.4" x14ac:dyDescent="0.3">
      <c r="B1326" s="39">
        <v>45933</v>
      </c>
      <c r="D1326" s="36" t="s">
        <v>355</v>
      </c>
      <c r="E1326" s="36" t="s">
        <v>920</v>
      </c>
      <c r="F1326" s="36" t="s">
        <v>137</v>
      </c>
      <c r="L1326" s="42">
        <v>-60</v>
      </c>
    </row>
    <row r="1327" spans="2:12" ht="14.4" x14ac:dyDescent="0.3">
      <c r="B1327" s="39">
        <v>45933</v>
      </c>
      <c r="D1327" s="36" t="s">
        <v>940</v>
      </c>
      <c r="E1327" s="36" t="s">
        <v>264</v>
      </c>
      <c r="F1327" s="36" t="s">
        <v>121</v>
      </c>
      <c r="L1327" s="42">
        <v>-20</v>
      </c>
    </row>
    <row r="1328" spans="2:12" ht="14.4" x14ac:dyDescent="0.3">
      <c r="B1328" s="39">
        <v>45933</v>
      </c>
      <c r="D1328" s="36" t="s">
        <v>940</v>
      </c>
      <c r="E1328" s="36" t="s">
        <v>264</v>
      </c>
      <c r="F1328" s="36" t="s">
        <v>121</v>
      </c>
      <c r="L1328" s="42">
        <v>-20</v>
      </c>
    </row>
    <row r="1329" spans="2:12" ht="14.4" x14ac:dyDescent="0.3">
      <c r="B1329" s="39">
        <v>45933</v>
      </c>
      <c r="D1329" s="36" t="s">
        <v>57</v>
      </c>
      <c r="E1329" s="36" t="s">
        <v>767</v>
      </c>
      <c r="F1329" s="36" t="s">
        <v>262</v>
      </c>
      <c r="L1329" s="42">
        <v>-3.62</v>
      </c>
    </row>
    <row r="1330" spans="2:12" ht="14.4" x14ac:dyDescent="0.3">
      <c r="B1330" s="39">
        <v>45933</v>
      </c>
      <c r="D1330" s="36" t="s">
        <v>57</v>
      </c>
      <c r="E1330" s="36" t="s">
        <v>773</v>
      </c>
      <c r="F1330" s="36" t="s">
        <v>330</v>
      </c>
      <c r="L1330" s="42">
        <v>-3091.84</v>
      </c>
    </row>
    <row r="1331" spans="2:12" ht="14.4" x14ac:dyDescent="0.3">
      <c r="B1331" s="39">
        <v>45934</v>
      </c>
      <c r="D1331" s="36" t="s">
        <v>355</v>
      </c>
      <c r="E1331" s="36" t="s">
        <v>921</v>
      </c>
      <c r="F1331" s="36" t="s">
        <v>137</v>
      </c>
      <c r="L1331" s="42">
        <v>-60</v>
      </c>
    </row>
    <row r="1332" spans="2:12" ht="14.4" x14ac:dyDescent="0.3">
      <c r="B1332" s="39">
        <v>45934</v>
      </c>
      <c r="D1332" s="36" t="s">
        <v>355</v>
      </c>
      <c r="E1332" s="36" t="s">
        <v>922</v>
      </c>
      <c r="F1332" s="36" t="s">
        <v>137</v>
      </c>
      <c r="L1332" s="42">
        <v>-60</v>
      </c>
    </row>
    <row r="1333" spans="2:12" ht="14.4" x14ac:dyDescent="0.3">
      <c r="B1333" s="39">
        <v>45934</v>
      </c>
      <c r="D1333" s="36" t="s">
        <v>355</v>
      </c>
      <c r="E1333" s="36" t="s">
        <v>923</v>
      </c>
      <c r="F1333" s="36" t="s">
        <v>137</v>
      </c>
      <c r="L1333" s="42">
        <v>-60</v>
      </c>
    </row>
    <row r="1334" spans="2:12" ht="14.4" x14ac:dyDescent="0.3">
      <c r="B1334" s="39">
        <v>45934</v>
      </c>
      <c r="D1334" s="36" t="s">
        <v>57</v>
      </c>
      <c r="E1334" s="36" t="s">
        <v>482</v>
      </c>
      <c r="F1334" s="36" t="s">
        <v>517</v>
      </c>
      <c r="L1334" s="42">
        <v>-20</v>
      </c>
    </row>
    <row r="1335" spans="2:12" ht="14.4" x14ac:dyDescent="0.3">
      <c r="B1335" s="39">
        <v>45934</v>
      </c>
      <c r="D1335" s="36" t="s">
        <v>940</v>
      </c>
      <c r="E1335" s="36" t="s">
        <v>945</v>
      </c>
      <c r="F1335" s="36" t="s">
        <v>781</v>
      </c>
      <c r="L1335" s="42">
        <v>-99</v>
      </c>
    </row>
    <row r="1336" spans="2:12" ht="14.4" x14ac:dyDescent="0.3">
      <c r="B1336" s="39">
        <v>45935</v>
      </c>
      <c r="D1336" s="36" t="s">
        <v>355</v>
      </c>
      <c r="E1336" s="36" t="s">
        <v>924</v>
      </c>
      <c r="F1336" s="36" t="s">
        <v>137</v>
      </c>
      <c r="L1336" s="42">
        <v>-60</v>
      </c>
    </row>
    <row r="1337" spans="2:12" ht="14.4" x14ac:dyDescent="0.3">
      <c r="B1337" s="39">
        <v>45935</v>
      </c>
      <c r="D1337" s="36" t="s">
        <v>355</v>
      </c>
      <c r="E1337" s="36" t="s">
        <v>925</v>
      </c>
      <c r="F1337" s="36" t="s">
        <v>137</v>
      </c>
      <c r="L1337" s="42">
        <v>-60</v>
      </c>
    </row>
    <row r="1338" spans="2:12" ht="14.4" x14ac:dyDescent="0.3">
      <c r="B1338" s="39">
        <v>45935</v>
      </c>
      <c r="D1338" s="36" t="s">
        <v>940</v>
      </c>
      <c r="E1338" s="36" t="s">
        <v>772</v>
      </c>
      <c r="F1338" s="36" t="s">
        <v>70</v>
      </c>
      <c r="L1338" s="42">
        <v>-14.58</v>
      </c>
    </row>
    <row r="1339" spans="2:12" ht="14.4" x14ac:dyDescent="0.3">
      <c r="B1339" s="39">
        <v>45936</v>
      </c>
      <c r="D1339" s="36" t="s">
        <v>355</v>
      </c>
      <c r="E1339" s="36" t="s">
        <v>926</v>
      </c>
      <c r="F1339" s="36" t="s">
        <v>137</v>
      </c>
      <c r="L1339" s="42">
        <v>-60</v>
      </c>
    </row>
    <row r="1340" spans="2:12" ht="14.4" x14ac:dyDescent="0.3">
      <c r="B1340" s="39">
        <v>45936</v>
      </c>
      <c r="D1340" s="36" t="s">
        <v>355</v>
      </c>
      <c r="E1340" s="36" t="s">
        <v>927</v>
      </c>
      <c r="F1340" s="36" t="s">
        <v>137</v>
      </c>
      <c r="L1340" s="42">
        <v>-60</v>
      </c>
    </row>
    <row r="1341" spans="2:12" ht="14.4" x14ac:dyDescent="0.3">
      <c r="B1341" s="39">
        <v>45936</v>
      </c>
      <c r="D1341" s="36" t="s">
        <v>940</v>
      </c>
      <c r="E1341" s="36" t="s">
        <v>264</v>
      </c>
      <c r="F1341" s="36" t="s">
        <v>121</v>
      </c>
      <c r="L1341" s="42">
        <v>-20</v>
      </c>
    </row>
    <row r="1342" spans="2:12" ht="14.4" x14ac:dyDescent="0.3">
      <c r="B1342" s="39">
        <v>45936</v>
      </c>
      <c r="D1342" s="36" t="s">
        <v>940</v>
      </c>
      <c r="E1342" s="36" t="s">
        <v>264</v>
      </c>
      <c r="F1342" s="36" t="s">
        <v>121</v>
      </c>
      <c r="L1342" s="42">
        <v>-20</v>
      </c>
    </row>
    <row r="1343" spans="2:12" ht="14.4" x14ac:dyDescent="0.3">
      <c r="B1343" s="39">
        <v>45937</v>
      </c>
      <c r="D1343" s="36" t="s">
        <v>355</v>
      </c>
      <c r="E1343" s="36" t="s">
        <v>928</v>
      </c>
      <c r="F1343" s="36" t="s">
        <v>137</v>
      </c>
      <c r="L1343" s="42">
        <v>-60</v>
      </c>
    </row>
    <row r="1344" spans="2:12" ht="14.4" x14ac:dyDescent="0.3">
      <c r="B1344" s="39">
        <v>45937</v>
      </c>
      <c r="D1344" s="36" t="s">
        <v>940</v>
      </c>
      <c r="E1344" s="36" t="s">
        <v>264</v>
      </c>
      <c r="F1344" s="36" t="s">
        <v>121</v>
      </c>
      <c r="L1344" s="42">
        <v>-20</v>
      </c>
    </row>
    <row r="1345" spans="2:12" ht="14.4" x14ac:dyDescent="0.3">
      <c r="B1345" s="39">
        <v>45937</v>
      </c>
      <c r="D1345" s="36" t="s">
        <v>57</v>
      </c>
      <c r="E1345" s="36" t="s">
        <v>946</v>
      </c>
      <c r="F1345" s="36" t="s">
        <v>282</v>
      </c>
      <c r="L1345" s="42">
        <v>-19.28</v>
      </c>
    </row>
    <row r="1346" spans="2:12" ht="14.4" x14ac:dyDescent="0.3">
      <c r="B1346" s="39">
        <v>45938</v>
      </c>
      <c r="D1346" s="36" t="s">
        <v>355</v>
      </c>
      <c r="E1346" s="36" t="s">
        <v>929</v>
      </c>
      <c r="F1346" s="36" t="s">
        <v>137</v>
      </c>
      <c r="L1346" s="42">
        <v>-60</v>
      </c>
    </row>
    <row r="1347" spans="2:12" ht="14.4" x14ac:dyDescent="0.3">
      <c r="B1347" s="39">
        <v>45938</v>
      </c>
      <c r="D1347" s="36" t="s">
        <v>355</v>
      </c>
      <c r="E1347" s="36" t="s">
        <v>930</v>
      </c>
      <c r="F1347" s="36" t="s">
        <v>137</v>
      </c>
      <c r="L1347" s="42">
        <v>-60</v>
      </c>
    </row>
    <row r="1348" spans="2:12" ht="14.4" x14ac:dyDescent="0.3">
      <c r="B1348" s="39">
        <v>45938</v>
      </c>
      <c r="D1348" s="36" t="s">
        <v>940</v>
      </c>
      <c r="E1348" s="36" t="s">
        <v>264</v>
      </c>
      <c r="F1348" s="36" t="s">
        <v>121</v>
      </c>
      <c r="L1348" s="42">
        <v>-20</v>
      </c>
    </row>
    <row r="1349" spans="2:12" ht="14.4" x14ac:dyDescent="0.3">
      <c r="B1349" s="39">
        <v>45938</v>
      </c>
      <c r="D1349" s="36" t="s">
        <v>940</v>
      </c>
      <c r="E1349" s="36" t="s">
        <v>264</v>
      </c>
      <c r="F1349" s="36" t="s">
        <v>121</v>
      </c>
      <c r="L1349" s="42">
        <v>-20</v>
      </c>
    </row>
    <row r="1350" spans="2:12" ht="14.4" x14ac:dyDescent="0.3">
      <c r="B1350" s="39">
        <v>45938</v>
      </c>
      <c r="D1350" s="36" t="s">
        <v>57</v>
      </c>
      <c r="E1350" s="36" t="s">
        <v>769</v>
      </c>
      <c r="F1350" s="36" t="s">
        <v>780</v>
      </c>
      <c r="L1350" s="42">
        <v>-30.06</v>
      </c>
    </row>
    <row r="1351" spans="2:12" ht="14.4" x14ac:dyDescent="0.3">
      <c r="B1351" s="39">
        <v>45938</v>
      </c>
      <c r="D1351" s="36" t="s">
        <v>57</v>
      </c>
      <c r="E1351" s="36" t="s">
        <v>947</v>
      </c>
      <c r="F1351" s="36" t="s">
        <v>952</v>
      </c>
      <c r="L1351" s="42">
        <v>-16.29</v>
      </c>
    </row>
    <row r="1352" spans="2:12" ht="14.4" x14ac:dyDescent="0.3">
      <c r="B1352" s="39">
        <v>45939</v>
      </c>
      <c r="D1352" s="36" t="s">
        <v>355</v>
      </c>
      <c r="E1352" s="36" t="s">
        <v>931</v>
      </c>
      <c r="F1352" s="36" t="s">
        <v>137</v>
      </c>
      <c r="L1352" s="42">
        <v>-60</v>
      </c>
    </row>
    <row r="1353" spans="2:12" ht="14.4" x14ac:dyDescent="0.3">
      <c r="B1353" s="39">
        <v>45939</v>
      </c>
      <c r="D1353" s="36" t="s">
        <v>940</v>
      </c>
      <c r="E1353" s="36" t="s">
        <v>264</v>
      </c>
      <c r="F1353" s="36" t="s">
        <v>121</v>
      </c>
      <c r="L1353" s="42">
        <v>-20</v>
      </c>
    </row>
    <row r="1354" spans="2:12" ht="14.4" x14ac:dyDescent="0.3">
      <c r="B1354" s="39">
        <v>45939</v>
      </c>
      <c r="D1354" s="36" t="s">
        <v>940</v>
      </c>
      <c r="E1354" s="36" t="s">
        <v>264</v>
      </c>
      <c r="F1354" s="36" t="s">
        <v>121</v>
      </c>
      <c r="L1354" s="42">
        <v>-20</v>
      </c>
    </row>
    <row r="1355" spans="2:12" ht="14.4" x14ac:dyDescent="0.3">
      <c r="B1355" s="39">
        <v>45939</v>
      </c>
      <c r="D1355" s="36" t="s">
        <v>940</v>
      </c>
      <c r="E1355" s="36" t="s">
        <v>948</v>
      </c>
      <c r="F1355" s="36" t="s">
        <v>70</v>
      </c>
      <c r="L1355" s="42">
        <v>-15.56</v>
      </c>
    </row>
    <row r="1356" spans="2:12" ht="14.4" x14ac:dyDescent="0.3">
      <c r="B1356" s="39">
        <v>45939</v>
      </c>
      <c r="D1356" s="36" t="s">
        <v>940</v>
      </c>
      <c r="E1356" s="36" t="s">
        <v>772</v>
      </c>
      <c r="F1356" s="36" t="s">
        <v>70</v>
      </c>
      <c r="L1356" s="42">
        <v>-64.48</v>
      </c>
    </row>
    <row r="1357" spans="2:12" ht="14.4" x14ac:dyDescent="0.3">
      <c r="B1357" s="39">
        <v>45939</v>
      </c>
      <c r="D1357" s="36" t="s">
        <v>940</v>
      </c>
      <c r="E1357" s="36" t="s">
        <v>312</v>
      </c>
      <c r="F1357" s="36" t="s">
        <v>115</v>
      </c>
      <c r="L1357" s="42">
        <v>-20</v>
      </c>
    </row>
    <row r="1358" spans="2:12" ht="14.4" x14ac:dyDescent="0.3">
      <c r="B1358" s="39">
        <v>45940</v>
      </c>
      <c r="D1358" s="36" t="s">
        <v>940</v>
      </c>
      <c r="E1358" s="36" t="s">
        <v>264</v>
      </c>
      <c r="F1358" s="36" t="s">
        <v>121</v>
      </c>
      <c r="L1358" s="42">
        <v>-20</v>
      </c>
    </row>
    <row r="1359" spans="2:12" ht="14.4" x14ac:dyDescent="0.3">
      <c r="B1359" s="39">
        <v>45942</v>
      </c>
      <c r="D1359" s="36" t="s">
        <v>355</v>
      </c>
      <c r="E1359" s="36" t="s">
        <v>932</v>
      </c>
      <c r="F1359" s="36" t="s">
        <v>137</v>
      </c>
      <c r="L1359" s="42">
        <v>-60</v>
      </c>
    </row>
    <row r="1360" spans="2:12" ht="14.4" x14ac:dyDescent="0.3">
      <c r="B1360" s="39">
        <v>45942</v>
      </c>
      <c r="D1360" s="36" t="s">
        <v>355</v>
      </c>
      <c r="E1360" s="36" t="s">
        <v>933</v>
      </c>
      <c r="F1360" s="36" t="s">
        <v>137</v>
      </c>
      <c r="L1360" s="42">
        <v>-60</v>
      </c>
    </row>
    <row r="1361" spans="2:12" ht="14.4" x14ac:dyDescent="0.3">
      <c r="B1361" s="39">
        <v>45942</v>
      </c>
      <c r="D1361" s="36" t="s">
        <v>355</v>
      </c>
      <c r="E1361" s="36" t="s">
        <v>934</v>
      </c>
      <c r="F1361" s="36" t="s">
        <v>137</v>
      </c>
      <c r="L1361" s="42">
        <v>-60.02</v>
      </c>
    </row>
    <row r="1362" spans="2:12" ht="14.4" x14ac:dyDescent="0.3">
      <c r="B1362" s="39">
        <v>45942</v>
      </c>
      <c r="D1362" s="36" t="s">
        <v>355</v>
      </c>
      <c r="E1362" s="36" t="s">
        <v>935</v>
      </c>
      <c r="F1362" s="36" t="s">
        <v>137</v>
      </c>
      <c r="L1362" s="42">
        <v>-60</v>
      </c>
    </row>
    <row r="1363" spans="2:12" ht="14.4" x14ac:dyDescent="0.3">
      <c r="B1363" s="39">
        <v>45942</v>
      </c>
      <c r="D1363" s="36" t="s">
        <v>940</v>
      </c>
      <c r="E1363" s="36" t="s">
        <v>264</v>
      </c>
      <c r="F1363" s="36" t="s">
        <v>121</v>
      </c>
      <c r="L1363" s="42">
        <v>-20</v>
      </c>
    </row>
    <row r="1364" spans="2:12" ht="14.4" x14ac:dyDescent="0.3">
      <c r="B1364" s="39">
        <v>45942</v>
      </c>
      <c r="D1364" s="36" t="s">
        <v>940</v>
      </c>
      <c r="E1364" s="36" t="s">
        <v>264</v>
      </c>
      <c r="F1364" s="36" t="s">
        <v>121</v>
      </c>
      <c r="L1364" s="42">
        <v>-20</v>
      </c>
    </row>
    <row r="1365" spans="2:12" ht="14.4" x14ac:dyDescent="0.3">
      <c r="B1365" s="39">
        <v>45942</v>
      </c>
      <c r="D1365" s="36" t="s">
        <v>940</v>
      </c>
      <c r="E1365" s="36" t="s">
        <v>264</v>
      </c>
      <c r="F1365" s="36" t="s">
        <v>121</v>
      </c>
      <c r="L1365" s="42">
        <v>-20</v>
      </c>
    </row>
    <row r="1366" spans="2:12" ht="14.4" x14ac:dyDescent="0.3">
      <c r="B1366" s="39">
        <v>45942</v>
      </c>
      <c r="D1366" s="36" t="s">
        <v>940</v>
      </c>
      <c r="E1366" s="36" t="s">
        <v>264</v>
      </c>
      <c r="F1366" s="36" t="s">
        <v>121</v>
      </c>
      <c r="L1366" s="42">
        <v>-20</v>
      </c>
    </row>
    <row r="1367" spans="2:12" ht="14.4" x14ac:dyDescent="0.3">
      <c r="B1367" s="39">
        <v>45942</v>
      </c>
      <c r="D1367" s="36" t="s">
        <v>950</v>
      </c>
      <c r="E1367" s="36" t="s">
        <v>949</v>
      </c>
      <c r="F1367" s="36" t="s">
        <v>956</v>
      </c>
      <c r="L1367" s="42">
        <v>-5.8</v>
      </c>
    </row>
    <row r="1368" spans="2:12" ht="14.4" x14ac:dyDescent="0.3">
      <c r="B1368" s="39">
        <v>45943</v>
      </c>
      <c r="D1368" s="36" t="s">
        <v>355</v>
      </c>
      <c r="E1368" s="36" t="s">
        <v>936</v>
      </c>
      <c r="F1368" s="36" t="s">
        <v>137</v>
      </c>
      <c r="L1368" s="42">
        <v>-60</v>
      </c>
    </row>
    <row r="1369" spans="2:12" ht="14.4" x14ac:dyDescent="0.3">
      <c r="B1369" s="39">
        <v>45943</v>
      </c>
      <c r="D1369" s="36" t="s">
        <v>940</v>
      </c>
      <c r="E1369" s="36" t="s">
        <v>264</v>
      </c>
      <c r="F1369" s="36" t="s">
        <v>121</v>
      </c>
      <c r="L1369" s="42">
        <v>-20</v>
      </c>
    </row>
    <row r="1370" spans="2:12" ht="14.4" x14ac:dyDescent="0.3">
      <c r="B1370" s="39">
        <v>45943</v>
      </c>
      <c r="D1370" s="36" t="s">
        <v>940</v>
      </c>
      <c r="E1370" s="36" t="s">
        <v>264</v>
      </c>
      <c r="F1370" s="36" t="s">
        <v>121</v>
      </c>
      <c r="L1370" s="42">
        <v>-20</v>
      </c>
    </row>
    <row r="1371" spans="2:12" ht="14.4" x14ac:dyDescent="0.3">
      <c r="B1371" s="39">
        <v>45943</v>
      </c>
      <c r="D1371" s="36" t="s">
        <v>940</v>
      </c>
      <c r="E1371" s="36" t="s">
        <v>264</v>
      </c>
      <c r="F1371" s="36" t="s">
        <v>121</v>
      </c>
      <c r="L1371" s="42">
        <v>-20</v>
      </c>
    </row>
    <row r="1372" spans="2:12" ht="14.4" x14ac:dyDescent="0.3">
      <c r="B1372" s="39">
        <v>45943</v>
      </c>
      <c r="D1372" s="36" t="s">
        <v>940</v>
      </c>
      <c r="E1372" s="36" t="s">
        <v>257</v>
      </c>
      <c r="F1372" s="36" t="s">
        <v>131</v>
      </c>
      <c r="L1372" s="42">
        <v>-38</v>
      </c>
    </row>
    <row r="1373" spans="2:12" ht="14.4" x14ac:dyDescent="0.3">
      <c r="B1373" s="39">
        <v>45945</v>
      </c>
      <c r="D1373" s="36" t="s">
        <v>355</v>
      </c>
      <c r="E1373" s="36" t="s">
        <v>937</v>
      </c>
      <c r="F1373" s="36" t="s">
        <v>137</v>
      </c>
      <c r="L1373" s="42">
        <v>-60</v>
      </c>
    </row>
    <row r="1374" spans="2:12" ht="14.4" x14ac:dyDescent="0.3">
      <c r="B1374" s="39">
        <v>45945</v>
      </c>
      <c r="D1374" s="36" t="s">
        <v>355</v>
      </c>
      <c r="E1374" s="36" t="s">
        <v>938</v>
      </c>
      <c r="F1374" s="36" t="s">
        <v>137</v>
      </c>
      <c r="L1374" s="42">
        <v>-60</v>
      </c>
    </row>
    <row r="1375" spans="2:12" ht="14.4" x14ac:dyDescent="0.3">
      <c r="B1375" s="39">
        <v>45945</v>
      </c>
      <c r="D1375" s="36" t="s">
        <v>355</v>
      </c>
      <c r="E1375" s="36" t="s">
        <v>939</v>
      </c>
      <c r="F1375" s="36" t="s">
        <v>137</v>
      </c>
      <c r="L1375" s="42">
        <v>-60</v>
      </c>
    </row>
    <row r="1376" spans="2:12" ht="14.4" x14ac:dyDescent="0.3">
      <c r="B1376" s="39">
        <v>45945</v>
      </c>
      <c r="D1376" s="36" t="s">
        <v>940</v>
      </c>
      <c r="E1376" s="36" t="s">
        <v>264</v>
      </c>
      <c r="F1376" s="36" t="s">
        <v>121</v>
      </c>
      <c r="L1376" s="42">
        <v>-20</v>
      </c>
    </row>
    <row r="1377" spans="2:12" ht="14.4" x14ac:dyDescent="0.3">
      <c r="B1377" s="39">
        <v>45945</v>
      </c>
      <c r="D1377" s="36" t="s">
        <v>940</v>
      </c>
      <c r="E1377" s="36" t="s">
        <v>264</v>
      </c>
      <c r="F1377" s="36" t="s">
        <v>121</v>
      </c>
      <c r="L1377" s="42">
        <v>-20</v>
      </c>
    </row>
    <row r="1378" spans="2:12" ht="14.4" x14ac:dyDescent="0.3">
      <c r="B1378" s="39">
        <v>45945</v>
      </c>
      <c r="D1378" s="36" t="s">
        <v>940</v>
      </c>
      <c r="E1378" s="36" t="s">
        <v>264</v>
      </c>
      <c r="F1378" s="36" t="s">
        <v>121</v>
      </c>
      <c r="L1378" s="42">
        <v>-20</v>
      </c>
    </row>
    <row r="1379" spans="2:12" ht="14.4" x14ac:dyDescent="0.3">
      <c r="B1379" s="39">
        <v>45945</v>
      </c>
      <c r="D1379" s="36" t="s">
        <v>940</v>
      </c>
      <c r="E1379" s="36" t="s">
        <v>264</v>
      </c>
      <c r="F1379" s="36" t="s">
        <v>121</v>
      </c>
      <c r="L1379" s="42">
        <v>-20</v>
      </c>
    </row>
    <row r="1380" spans="2:12" ht="14.4" x14ac:dyDescent="0.3">
      <c r="B1380" s="39">
        <v>45945</v>
      </c>
      <c r="D1380" s="36" t="s">
        <v>940</v>
      </c>
      <c r="E1380" s="36" t="s">
        <v>264</v>
      </c>
      <c r="F1380" s="36" t="s">
        <v>121</v>
      </c>
      <c r="L1380" s="42">
        <v>-20</v>
      </c>
    </row>
    <row r="1381" spans="2:12" ht="14.4" x14ac:dyDescent="0.3">
      <c r="B1381" s="39">
        <v>45945</v>
      </c>
      <c r="C1381" s="39" t="s">
        <v>553</v>
      </c>
      <c r="D1381" s="36" t="s">
        <v>194</v>
      </c>
      <c r="E1381" s="36" t="s">
        <v>959</v>
      </c>
      <c r="F1381" s="36" t="s">
        <v>958</v>
      </c>
      <c r="G1381" s="42">
        <v>-11047</v>
      </c>
    </row>
    <row r="1382" spans="2:12" ht="14.4" x14ac:dyDescent="0.3">
      <c r="B1382" s="39">
        <v>45945</v>
      </c>
      <c r="C1382" s="39" t="s">
        <v>554</v>
      </c>
      <c r="D1382" s="36" t="s">
        <v>57</v>
      </c>
      <c r="E1382" s="36" t="s">
        <v>960</v>
      </c>
      <c r="F1382" s="36" t="s">
        <v>975</v>
      </c>
      <c r="G1382" s="42">
        <v>11047</v>
      </c>
    </row>
    <row r="1383" spans="2:12" ht="14.4" x14ac:dyDescent="0.3">
      <c r="B1383" s="39">
        <v>45945</v>
      </c>
      <c r="D1383" s="36" t="s">
        <v>519</v>
      </c>
      <c r="E1383" s="36" t="s">
        <v>962</v>
      </c>
      <c r="F1383" s="36" t="s">
        <v>524</v>
      </c>
      <c r="K1383" s="42">
        <v>3654</v>
      </c>
    </row>
    <row r="1384" spans="2:12" ht="14.4" x14ac:dyDescent="0.3">
      <c r="B1384" s="39">
        <v>45945</v>
      </c>
      <c r="C1384" s="39" t="s">
        <v>553</v>
      </c>
      <c r="D1384" s="36" t="s">
        <v>519</v>
      </c>
      <c r="E1384" s="36" t="s">
        <v>959</v>
      </c>
      <c r="F1384" s="36" t="s">
        <v>958</v>
      </c>
      <c r="G1384" s="42">
        <v>-50828</v>
      </c>
    </row>
    <row r="1385" spans="2:12" ht="14.4" x14ac:dyDescent="0.3">
      <c r="B1385" s="39">
        <v>45945</v>
      </c>
      <c r="C1385" s="39" t="s">
        <v>554</v>
      </c>
      <c r="D1385" s="36" t="s">
        <v>57</v>
      </c>
      <c r="E1385" s="36" t="s">
        <v>964</v>
      </c>
      <c r="F1385" s="36" t="s">
        <v>969</v>
      </c>
      <c r="G1385" s="42">
        <v>50828</v>
      </c>
    </row>
    <row r="1386" spans="2:12" ht="14.4" x14ac:dyDescent="0.3">
      <c r="B1386" s="39">
        <v>45945</v>
      </c>
      <c r="C1386" s="39" t="s">
        <v>553</v>
      </c>
      <c r="D1386" s="36" t="s">
        <v>355</v>
      </c>
      <c r="E1386" s="36" t="s">
        <v>959</v>
      </c>
      <c r="F1386" s="36" t="s">
        <v>958</v>
      </c>
      <c r="G1386" s="42">
        <v>-3227</v>
      </c>
    </row>
    <row r="1387" spans="2:12" ht="14.4" x14ac:dyDescent="0.3">
      <c r="B1387" s="39">
        <v>45945</v>
      </c>
      <c r="C1387" s="39" t="s">
        <v>554</v>
      </c>
      <c r="D1387" s="36" t="s">
        <v>57</v>
      </c>
      <c r="E1387" s="36" t="s">
        <v>967</v>
      </c>
      <c r="F1387" s="36" t="s">
        <v>973</v>
      </c>
      <c r="G1387" s="42">
        <v>3227</v>
      </c>
    </row>
    <row r="1388" spans="2:12" ht="14.4" x14ac:dyDescent="0.3">
      <c r="B1388" s="39">
        <v>45945</v>
      </c>
      <c r="C1388" s="39" t="s">
        <v>553</v>
      </c>
      <c r="D1388" s="36" t="s">
        <v>258</v>
      </c>
      <c r="E1388" s="36" t="s">
        <v>959</v>
      </c>
      <c r="F1388" s="36" t="s">
        <v>958</v>
      </c>
      <c r="G1388" s="42">
        <v>-343</v>
      </c>
    </row>
    <row r="1389" spans="2:12" ht="14.4" x14ac:dyDescent="0.3">
      <c r="B1389" s="39">
        <v>45945</v>
      </c>
      <c r="C1389" s="39" t="s">
        <v>554</v>
      </c>
      <c r="D1389" s="36" t="s">
        <v>57</v>
      </c>
      <c r="E1389" s="36" t="s">
        <v>966</v>
      </c>
      <c r="F1389" s="36" t="s">
        <v>970</v>
      </c>
      <c r="G1389" s="42">
        <v>343</v>
      </c>
    </row>
    <row r="1390" spans="2:12" ht="14.4" x14ac:dyDescent="0.3">
      <c r="B1390" s="39">
        <v>45945</v>
      </c>
      <c r="C1390" s="39" t="s">
        <v>553</v>
      </c>
      <c r="D1390" s="36" t="s">
        <v>272</v>
      </c>
      <c r="E1390" s="36" t="s">
        <v>959</v>
      </c>
      <c r="F1390" s="36" t="s">
        <v>958</v>
      </c>
      <c r="G1390" s="42">
        <v>743</v>
      </c>
    </row>
    <row r="1391" spans="2:12" ht="14.4" x14ac:dyDescent="0.3">
      <c r="B1391" s="39">
        <v>45945</v>
      </c>
      <c r="C1391" s="39" t="s">
        <v>554</v>
      </c>
      <c r="D1391" s="36" t="s">
        <v>57</v>
      </c>
      <c r="E1391" s="36" t="s">
        <v>965</v>
      </c>
      <c r="F1391" s="36" t="s">
        <v>971</v>
      </c>
      <c r="G1391" s="42">
        <v>-743</v>
      </c>
    </row>
    <row r="1392" spans="2:12" ht="14.4" x14ac:dyDescent="0.3">
      <c r="B1392" s="39">
        <v>45945</v>
      </c>
      <c r="C1392" s="39" t="s">
        <v>553</v>
      </c>
      <c r="D1392" s="36" t="s">
        <v>260</v>
      </c>
      <c r="E1392" s="36" t="s">
        <v>959</v>
      </c>
      <c r="F1392" s="36" t="s">
        <v>958</v>
      </c>
      <c r="G1392" s="42">
        <v>-84</v>
      </c>
    </row>
    <row r="1393" spans="2:12" ht="14.4" x14ac:dyDescent="0.3">
      <c r="B1393" s="39">
        <v>45945</v>
      </c>
      <c r="C1393" s="39" t="s">
        <v>554</v>
      </c>
      <c r="D1393" s="36" t="s">
        <v>57</v>
      </c>
      <c r="E1393" s="36" t="s">
        <v>968</v>
      </c>
      <c r="F1393" s="36" t="s">
        <v>972</v>
      </c>
      <c r="G1393" s="42">
        <v>84</v>
      </c>
    </row>
    <row r="1394" spans="2:12" ht="14.4" x14ac:dyDescent="0.3">
      <c r="B1394" s="39">
        <v>45946</v>
      </c>
      <c r="D1394" s="36" t="s">
        <v>940</v>
      </c>
      <c r="E1394" s="36" t="s">
        <v>264</v>
      </c>
      <c r="F1394" s="36" t="s">
        <v>121</v>
      </c>
      <c r="L1394" s="42">
        <v>-20</v>
      </c>
    </row>
    <row r="1395" spans="2:12" ht="14.4" x14ac:dyDescent="0.3">
      <c r="B1395" s="39">
        <v>45946</v>
      </c>
      <c r="D1395" s="36" t="s">
        <v>940</v>
      </c>
      <c r="E1395" s="36" t="s">
        <v>264</v>
      </c>
      <c r="F1395" s="36" t="s">
        <v>121</v>
      </c>
      <c r="L1395" s="42">
        <v>-20</v>
      </c>
    </row>
    <row r="1396" spans="2:12" ht="14.4" x14ac:dyDescent="0.3">
      <c r="B1396" s="39">
        <v>45946</v>
      </c>
      <c r="D1396" s="36" t="s">
        <v>940</v>
      </c>
      <c r="E1396" s="36" t="s">
        <v>264</v>
      </c>
      <c r="F1396" s="36" t="s">
        <v>121</v>
      </c>
      <c r="L1396" s="42">
        <v>-20</v>
      </c>
    </row>
    <row r="1397" spans="2:12" ht="14.4" x14ac:dyDescent="0.3">
      <c r="B1397" s="39">
        <v>45946</v>
      </c>
      <c r="D1397" s="36" t="s">
        <v>110</v>
      </c>
      <c r="E1397" s="36" t="s">
        <v>311</v>
      </c>
      <c r="F1397" s="36" t="s">
        <v>310</v>
      </c>
      <c r="K1397" s="42">
        <v>-5965</v>
      </c>
      <c r="L1397" s="42">
        <v>5965</v>
      </c>
    </row>
    <row r="1398" spans="2:12" ht="14.4" x14ac:dyDescent="0.3">
      <c r="B1398" s="39">
        <v>45946</v>
      </c>
      <c r="C1398" s="39" t="s">
        <v>553</v>
      </c>
      <c r="D1398" s="36" t="s">
        <v>57</v>
      </c>
      <c r="E1398" s="36" t="s">
        <v>959</v>
      </c>
      <c r="F1398" s="36" t="s">
        <v>976</v>
      </c>
      <c r="G1398" s="42">
        <v>-50518</v>
      </c>
    </row>
    <row r="1399" spans="2:12" ht="14.4" x14ac:dyDescent="0.3">
      <c r="B1399" s="39">
        <v>45946</v>
      </c>
      <c r="C1399" s="39" t="s">
        <v>554</v>
      </c>
      <c r="D1399" s="36" t="s">
        <v>564</v>
      </c>
      <c r="E1399" s="36" t="s">
        <v>977</v>
      </c>
      <c r="F1399" s="36" t="s">
        <v>978</v>
      </c>
      <c r="G1399" s="42">
        <v>50518</v>
      </c>
    </row>
    <row r="1400" spans="2:12" ht="14.4" x14ac:dyDescent="0.3">
      <c r="B1400" s="39">
        <v>45946</v>
      </c>
      <c r="D1400" s="36" t="s">
        <v>940</v>
      </c>
      <c r="E1400" s="36" t="s">
        <v>257</v>
      </c>
      <c r="F1400" s="36" t="s">
        <v>131</v>
      </c>
      <c r="L1400" s="42">
        <v>-38</v>
      </c>
    </row>
    <row r="1401" spans="2:12" ht="14.4" x14ac:dyDescent="0.3">
      <c r="B1401" s="39">
        <v>45946</v>
      </c>
      <c r="D1401" s="36" t="s">
        <v>355</v>
      </c>
      <c r="E1401" s="36" t="s">
        <v>981</v>
      </c>
      <c r="F1401" s="36" t="s">
        <v>137</v>
      </c>
      <c r="L1401" s="42">
        <v>-60</v>
      </c>
    </row>
    <row r="1402" spans="2:12" ht="14.4" x14ac:dyDescent="0.3">
      <c r="B1402" s="39">
        <v>45946</v>
      </c>
      <c r="D1402" s="36" t="s">
        <v>355</v>
      </c>
      <c r="E1402" s="36" t="s">
        <v>982</v>
      </c>
      <c r="F1402" s="36" t="s">
        <v>137</v>
      </c>
      <c r="L1402" s="42">
        <v>-60</v>
      </c>
    </row>
    <row r="1403" spans="2:12" ht="14.4" x14ac:dyDescent="0.3">
      <c r="B1403" s="39">
        <v>45947</v>
      </c>
      <c r="D1403" s="36" t="s">
        <v>355</v>
      </c>
      <c r="E1403" s="36" t="s">
        <v>983</v>
      </c>
      <c r="F1403" s="36" t="s">
        <v>137</v>
      </c>
      <c r="L1403" s="42">
        <v>-60</v>
      </c>
    </row>
    <row r="1404" spans="2:12" ht="14.4" x14ac:dyDescent="0.3">
      <c r="B1404" s="39">
        <v>45947</v>
      </c>
      <c r="D1404" s="36" t="s">
        <v>940</v>
      </c>
      <c r="E1404" s="36" t="s">
        <v>264</v>
      </c>
      <c r="F1404" s="36" t="s">
        <v>121</v>
      </c>
      <c r="L1404" s="42">
        <v>-20</v>
      </c>
    </row>
    <row r="1405" spans="2:12" ht="14.4" x14ac:dyDescent="0.3">
      <c r="B1405" s="39">
        <v>45947</v>
      </c>
      <c r="D1405" s="36" t="s">
        <v>940</v>
      </c>
      <c r="E1405" s="36" t="s">
        <v>264</v>
      </c>
      <c r="F1405" s="36" t="s">
        <v>121</v>
      </c>
      <c r="L1405" s="42">
        <v>-20</v>
      </c>
    </row>
    <row r="1406" spans="2:12" ht="14.4" x14ac:dyDescent="0.3">
      <c r="B1406" s="39">
        <v>45948</v>
      </c>
      <c r="D1406" s="36" t="s">
        <v>355</v>
      </c>
      <c r="E1406" s="36" t="s">
        <v>987</v>
      </c>
      <c r="F1406" s="36" t="s">
        <v>137</v>
      </c>
      <c r="L1406" s="42">
        <v>-1.28</v>
      </c>
    </row>
    <row r="1407" spans="2:12" ht="14.4" x14ac:dyDescent="0.3">
      <c r="B1407" s="39">
        <v>45948</v>
      </c>
      <c r="D1407" s="36" t="s">
        <v>355</v>
      </c>
      <c r="E1407" s="36" t="s">
        <v>985</v>
      </c>
      <c r="F1407" s="36" t="s">
        <v>137</v>
      </c>
      <c r="L1407" s="42">
        <v>-60</v>
      </c>
    </row>
    <row r="1408" spans="2:12" ht="14.4" x14ac:dyDescent="0.3">
      <c r="B1408" s="39">
        <v>45948</v>
      </c>
      <c r="D1408" s="36" t="s">
        <v>355</v>
      </c>
      <c r="E1408" s="36" t="s">
        <v>984</v>
      </c>
      <c r="F1408" s="36" t="s">
        <v>137</v>
      </c>
      <c r="L1408" s="42">
        <v>-60</v>
      </c>
    </row>
    <row r="1409" spans="2:12" ht="14.4" x14ac:dyDescent="0.3">
      <c r="B1409" s="39">
        <v>45948</v>
      </c>
      <c r="D1409" s="36" t="s">
        <v>355</v>
      </c>
      <c r="E1409" s="36" t="s">
        <v>990</v>
      </c>
      <c r="F1409" s="36" t="s">
        <v>137</v>
      </c>
      <c r="L1409" s="42">
        <v>-60</v>
      </c>
    </row>
    <row r="1410" spans="2:12" ht="14.4" x14ac:dyDescent="0.3">
      <c r="B1410" s="39">
        <v>45948</v>
      </c>
      <c r="D1410" s="36" t="s">
        <v>355</v>
      </c>
      <c r="E1410" s="36" t="s">
        <v>991</v>
      </c>
      <c r="F1410" s="36" t="s">
        <v>137</v>
      </c>
      <c r="L1410" s="42">
        <v>-9.3699999999999992</v>
      </c>
    </row>
    <row r="1411" spans="2:12" ht="14.4" x14ac:dyDescent="0.3">
      <c r="B1411" s="39">
        <v>45948</v>
      </c>
      <c r="D1411" s="36" t="s">
        <v>355</v>
      </c>
      <c r="E1411" s="36" t="s">
        <v>989</v>
      </c>
      <c r="F1411" s="36" t="s">
        <v>137</v>
      </c>
      <c r="L1411" s="42">
        <v>-60</v>
      </c>
    </row>
    <row r="1412" spans="2:12" ht="14.4" x14ac:dyDescent="0.3">
      <c r="B1412" s="39">
        <v>45948</v>
      </c>
      <c r="D1412" s="36" t="s">
        <v>355</v>
      </c>
      <c r="E1412" s="36" t="s">
        <v>988</v>
      </c>
      <c r="F1412" s="36" t="s">
        <v>137</v>
      </c>
      <c r="L1412" s="42">
        <v>-59.83</v>
      </c>
    </row>
    <row r="1413" spans="2:12" ht="14.4" x14ac:dyDescent="0.3">
      <c r="B1413" s="39">
        <v>45948</v>
      </c>
      <c r="D1413" s="36" t="s">
        <v>940</v>
      </c>
      <c r="E1413" s="36" t="s">
        <v>986</v>
      </c>
      <c r="F1413" s="36" t="s">
        <v>137</v>
      </c>
      <c r="L1413" s="42">
        <v>-573.67999999999995</v>
      </c>
    </row>
    <row r="1414" spans="2:12" ht="14.4" x14ac:dyDescent="0.3">
      <c r="B1414" s="39">
        <v>45948</v>
      </c>
      <c r="D1414" s="36" t="s">
        <v>940</v>
      </c>
      <c r="E1414" s="36" t="s">
        <v>264</v>
      </c>
      <c r="F1414" s="36" t="s">
        <v>121</v>
      </c>
      <c r="L1414" s="42">
        <v>-20</v>
      </c>
    </row>
    <row r="1415" spans="2:12" ht="14.4" x14ac:dyDescent="0.3">
      <c r="B1415" s="39">
        <v>45948</v>
      </c>
      <c r="D1415" s="36" t="s">
        <v>940</v>
      </c>
      <c r="E1415" s="36" t="s">
        <v>264</v>
      </c>
      <c r="F1415" s="36" t="s">
        <v>121</v>
      </c>
      <c r="L1415" s="42">
        <v>-20</v>
      </c>
    </row>
    <row r="1416" spans="2:12" ht="14.4" x14ac:dyDescent="0.3">
      <c r="B1416" s="39">
        <v>45948</v>
      </c>
      <c r="D1416" s="36" t="s">
        <v>940</v>
      </c>
      <c r="E1416" s="36" t="s">
        <v>264</v>
      </c>
      <c r="F1416" s="36" t="s">
        <v>121</v>
      </c>
      <c r="L1416" s="42">
        <v>-20</v>
      </c>
    </row>
    <row r="1417" spans="2:12" ht="14.4" x14ac:dyDescent="0.3">
      <c r="B1417" s="39">
        <v>45948</v>
      </c>
      <c r="D1417" s="36" t="s">
        <v>940</v>
      </c>
      <c r="E1417" s="36" t="s">
        <v>264</v>
      </c>
      <c r="F1417" s="36" t="s">
        <v>121</v>
      </c>
      <c r="L1417" s="42">
        <v>-20</v>
      </c>
    </row>
    <row r="1418" spans="2:12" ht="14.4" x14ac:dyDescent="0.3">
      <c r="B1418" s="39">
        <v>45948</v>
      </c>
      <c r="D1418" s="36" t="s">
        <v>940</v>
      </c>
      <c r="E1418" s="36" t="s">
        <v>264</v>
      </c>
      <c r="F1418" s="36" t="s">
        <v>121</v>
      </c>
      <c r="L1418" s="42">
        <v>-20</v>
      </c>
    </row>
    <row r="1419" spans="2:12" ht="14.4" x14ac:dyDescent="0.3">
      <c r="B1419" s="39">
        <v>45948</v>
      </c>
      <c r="D1419" s="36" t="s">
        <v>57</v>
      </c>
      <c r="E1419" s="36" t="s">
        <v>284</v>
      </c>
      <c r="F1419" s="36" t="s">
        <v>72</v>
      </c>
      <c r="L1419" s="42">
        <v>-20</v>
      </c>
    </row>
    <row r="1420" spans="2:12" ht="14.4" x14ac:dyDescent="0.3">
      <c r="B1420" s="39">
        <v>45948</v>
      </c>
      <c r="D1420" s="36" t="s">
        <v>940</v>
      </c>
      <c r="E1420" s="36" t="s">
        <v>300</v>
      </c>
      <c r="F1420" s="36" t="s">
        <v>347</v>
      </c>
      <c r="L1420" s="42">
        <v>-88.99</v>
      </c>
    </row>
    <row r="1421" spans="2:12" ht="14.4" x14ac:dyDescent="0.3">
      <c r="B1421" s="39">
        <v>45949</v>
      </c>
      <c r="D1421" s="36" t="s">
        <v>940</v>
      </c>
      <c r="E1421" s="36" t="s">
        <v>993</v>
      </c>
      <c r="F1421" s="36" t="s">
        <v>137</v>
      </c>
      <c r="L1421" s="42">
        <v>-900</v>
      </c>
    </row>
    <row r="1422" spans="2:12" ht="14.4" x14ac:dyDescent="0.3">
      <c r="B1422" s="39">
        <v>45949</v>
      </c>
      <c r="D1422" s="36" t="s">
        <v>355</v>
      </c>
      <c r="E1422" s="36" t="s">
        <v>995</v>
      </c>
      <c r="F1422" s="36" t="s">
        <v>137</v>
      </c>
      <c r="L1422" s="42">
        <v>-60</v>
      </c>
    </row>
    <row r="1423" spans="2:12" ht="14.4" x14ac:dyDescent="0.3">
      <c r="B1423" s="39">
        <v>45949</v>
      </c>
      <c r="D1423" s="36" t="s">
        <v>940</v>
      </c>
      <c r="E1423" s="36" t="s">
        <v>997</v>
      </c>
      <c r="F1423" s="36" t="s">
        <v>137</v>
      </c>
      <c r="L1423" s="42">
        <v>-900</v>
      </c>
    </row>
    <row r="1424" spans="2:12" ht="14.4" x14ac:dyDescent="0.3">
      <c r="B1424" s="39">
        <v>45949</v>
      </c>
      <c r="D1424" s="36" t="s">
        <v>355</v>
      </c>
      <c r="E1424" s="36" t="s">
        <v>994</v>
      </c>
      <c r="F1424" s="36" t="s">
        <v>137</v>
      </c>
      <c r="L1424" s="42">
        <v>-60</v>
      </c>
    </row>
    <row r="1425" spans="2:12" ht="14.4" x14ac:dyDescent="0.3">
      <c r="B1425" s="39">
        <v>45949</v>
      </c>
      <c r="D1425" s="36" t="s">
        <v>940</v>
      </c>
      <c r="E1425" s="36" t="s">
        <v>996</v>
      </c>
      <c r="F1425" s="36" t="s">
        <v>137</v>
      </c>
      <c r="L1425" s="42">
        <v>-900</v>
      </c>
    </row>
    <row r="1426" spans="2:12" ht="14.4" x14ac:dyDescent="0.3">
      <c r="B1426" s="39">
        <v>45949</v>
      </c>
      <c r="D1426" s="36" t="s">
        <v>57</v>
      </c>
      <c r="E1426" s="36" t="s">
        <v>768</v>
      </c>
      <c r="F1426" s="36" t="s">
        <v>70</v>
      </c>
      <c r="L1426" s="42">
        <v>-13.59</v>
      </c>
    </row>
    <row r="1427" spans="2:12" ht="14.4" x14ac:dyDescent="0.3">
      <c r="B1427" s="39">
        <v>45949</v>
      </c>
      <c r="D1427" s="36" t="s">
        <v>940</v>
      </c>
      <c r="E1427" s="36" t="s">
        <v>264</v>
      </c>
      <c r="F1427" s="36" t="s">
        <v>121</v>
      </c>
      <c r="L1427" s="42">
        <v>-20</v>
      </c>
    </row>
    <row r="1428" spans="2:12" ht="14.4" x14ac:dyDescent="0.3">
      <c r="B1428" s="39">
        <v>45949</v>
      </c>
      <c r="D1428" s="36" t="s">
        <v>940</v>
      </c>
      <c r="E1428" s="36" t="s">
        <v>264</v>
      </c>
      <c r="F1428" s="36" t="s">
        <v>121</v>
      </c>
      <c r="L1428" s="42">
        <v>-20</v>
      </c>
    </row>
    <row r="1429" spans="2:12" ht="14.4" x14ac:dyDescent="0.3">
      <c r="B1429" s="39">
        <v>45949</v>
      </c>
      <c r="D1429" s="36" t="s">
        <v>940</v>
      </c>
      <c r="E1429" s="36" t="s">
        <v>264</v>
      </c>
      <c r="F1429" s="36" t="s">
        <v>121</v>
      </c>
      <c r="L1429" s="42">
        <v>-20</v>
      </c>
    </row>
    <row r="1430" spans="2:12" ht="14.4" x14ac:dyDescent="0.3">
      <c r="B1430" s="39">
        <v>45949</v>
      </c>
      <c r="D1430" s="36" t="s">
        <v>940</v>
      </c>
      <c r="E1430" s="36" t="s">
        <v>264</v>
      </c>
      <c r="F1430" s="36" t="s">
        <v>121</v>
      </c>
      <c r="L1430" s="42">
        <v>-20</v>
      </c>
    </row>
    <row r="1431" spans="2:12" ht="14.4" x14ac:dyDescent="0.3">
      <c r="B1431" s="39">
        <v>45949</v>
      </c>
      <c r="D1431" s="36" t="s">
        <v>57</v>
      </c>
      <c r="E1431" s="36" t="s">
        <v>992</v>
      </c>
      <c r="F1431" s="36" t="s">
        <v>115</v>
      </c>
      <c r="L1431" s="42">
        <v>-20.29</v>
      </c>
    </row>
    <row r="1432" spans="2:12" ht="14.4" x14ac:dyDescent="0.3">
      <c r="B1432" s="39">
        <v>45950</v>
      </c>
      <c r="D1432" s="36" t="s">
        <v>940</v>
      </c>
      <c r="E1432" s="36" t="s">
        <v>1003</v>
      </c>
      <c r="F1432" s="36" t="s">
        <v>137</v>
      </c>
      <c r="L1432" s="42">
        <v>-900</v>
      </c>
    </row>
    <row r="1433" spans="2:12" ht="14.4" x14ac:dyDescent="0.3">
      <c r="B1433" s="39">
        <v>45950</v>
      </c>
      <c r="D1433" s="36" t="s">
        <v>940</v>
      </c>
      <c r="E1433" s="36" t="s">
        <v>1000</v>
      </c>
      <c r="F1433" s="36" t="s">
        <v>137</v>
      </c>
      <c r="L1433" s="42">
        <v>-900</v>
      </c>
    </row>
    <row r="1434" spans="2:12" ht="14.4" x14ac:dyDescent="0.3">
      <c r="B1434" s="39">
        <v>45950</v>
      </c>
      <c r="D1434" s="36" t="s">
        <v>940</v>
      </c>
      <c r="E1434" s="36" t="s">
        <v>1002</v>
      </c>
      <c r="F1434" s="36" t="s">
        <v>137</v>
      </c>
      <c r="L1434" s="42">
        <v>-900</v>
      </c>
    </row>
    <row r="1435" spans="2:12" ht="14.4" x14ac:dyDescent="0.3">
      <c r="B1435" s="39">
        <v>45950</v>
      </c>
      <c r="D1435" s="36" t="s">
        <v>940</v>
      </c>
      <c r="E1435" s="36" t="s">
        <v>1001</v>
      </c>
      <c r="F1435" s="36" t="s">
        <v>137</v>
      </c>
      <c r="L1435" s="42">
        <v>-900</v>
      </c>
    </row>
    <row r="1436" spans="2:12" ht="14.4" x14ac:dyDescent="0.3">
      <c r="B1436" s="39">
        <v>45950</v>
      </c>
      <c r="D1436" s="36" t="s">
        <v>940</v>
      </c>
      <c r="E1436" s="36" t="s">
        <v>998</v>
      </c>
      <c r="F1436" s="36" t="s">
        <v>137</v>
      </c>
      <c r="L1436" s="42">
        <v>-900</v>
      </c>
    </row>
    <row r="1437" spans="2:12" ht="14.4" x14ac:dyDescent="0.3">
      <c r="B1437" s="39">
        <v>45950</v>
      </c>
      <c r="D1437" s="36" t="s">
        <v>355</v>
      </c>
      <c r="E1437" s="36" t="s">
        <v>999</v>
      </c>
      <c r="F1437" s="36" t="s">
        <v>137</v>
      </c>
      <c r="L1437" s="42">
        <v>-60</v>
      </c>
    </row>
    <row r="1438" spans="2:12" ht="14.4" x14ac:dyDescent="0.3">
      <c r="B1438" s="39">
        <v>45950</v>
      </c>
      <c r="D1438" s="36" t="s">
        <v>355</v>
      </c>
      <c r="E1438" s="36" t="s">
        <v>1004</v>
      </c>
      <c r="F1438" s="36" t="s">
        <v>137</v>
      </c>
      <c r="L1438" s="42">
        <v>-60</v>
      </c>
    </row>
    <row r="1439" spans="2:12" ht="14.4" x14ac:dyDescent="0.3">
      <c r="B1439" s="39">
        <v>45950</v>
      </c>
      <c r="D1439" s="36" t="s">
        <v>940</v>
      </c>
      <c r="E1439" s="36" t="s">
        <v>264</v>
      </c>
      <c r="F1439" s="36" t="s">
        <v>121</v>
      </c>
      <c r="L1439" s="42">
        <v>-20</v>
      </c>
    </row>
    <row r="1440" spans="2:12" ht="14.4" x14ac:dyDescent="0.3">
      <c r="B1440" s="39">
        <v>45950</v>
      </c>
      <c r="D1440" s="36" t="s">
        <v>940</v>
      </c>
      <c r="E1440" s="36" t="s">
        <v>264</v>
      </c>
      <c r="F1440" s="36" t="s">
        <v>121</v>
      </c>
      <c r="L1440" s="42">
        <v>-20</v>
      </c>
    </row>
    <row r="1441" spans="2:12" ht="14.4" x14ac:dyDescent="0.3">
      <c r="B1441" s="39">
        <v>45950</v>
      </c>
      <c r="D1441" s="36" t="s">
        <v>940</v>
      </c>
      <c r="E1441" s="36" t="s">
        <v>264</v>
      </c>
      <c r="F1441" s="36" t="s">
        <v>121</v>
      </c>
      <c r="L1441" s="42">
        <v>-20</v>
      </c>
    </row>
    <row r="1442" spans="2:12" ht="14.4" x14ac:dyDescent="0.3">
      <c r="B1442" s="39">
        <v>45951</v>
      </c>
      <c r="D1442" s="36" t="s">
        <v>355</v>
      </c>
      <c r="E1442" s="36" t="s">
        <v>1005</v>
      </c>
      <c r="F1442" s="36" t="s">
        <v>137</v>
      </c>
      <c r="L1442" s="42">
        <v>-60</v>
      </c>
    </row>
    <row r="1443" spans="2:12" ht="14.4" x14ac:dyDescent="0.3">
      <c r="B1443" s="39">
        <v>45951</v>
      </c>
      <c r="D1443" s="36" t="s">
        <v>940</v>
      </c>
      <c r="E1443" s="36" t="s">
        <v>1006</v>
      </c>
      <c r="F1443" s="36" t="s">
        <v>137</v>
      </c>
      <c r="L1443" s="42">
        <v>-900</v>
      </c>
    </row>
    <row r="1444" spans="2:12" ht="14.4" x14ac:dyDescent="0.3">
      <c r="B1444" s="39">
        <v>45951</v>
      </c>
      <c r="D1444" s="36" t="s">
        <v>940</v>
      </c>
      <c r="E1444" s="36" t="s">
        <v>264</v>
      </c>
      <c r="F1444" s="36" t="s">
        <v>121</v>
      </c>
      <c r="L1444" s="42">
        <v>-20</v>
      </c>
    </row>
    <row r="1445" spans="2:12" ht="14.4" x14ac:dyDescent="0.3">
      <c r="B1445" s="39">
        <v>45952</v>
      </c>
      <c r="D1445" s="36" t="s">
        <v>355</v>
      </c>
      <c r="E1445" s="36" t="s">
        <v>1007</v>
      </c>
      <c r="F1445" s="36" t="s">
        <v>137</v>
      </c>
      <c r="L1445" s="42">
        <v>-60</v>
      </c>
    </row>
    <row r="1446" spans="2:12" ht="14.4" x14ac:dyDescent="0.3">
      <c r="B1446" s="39">
        <v>45952</v>
      </c>
      <c r="D1446" s="36" t="s">
        <v>940</v>
      </c>
      <c r="E1446" s="36" t="s">
        <v>1009</v>
      </c>
      <c r="F1446" s="36" t="s">
        <v>137</v>
      </c>
      <c r="L1446" s="42">
        <v>-900</v>
      </c>
    </row>
    <row r="1447" spans="2:12" ht="14.4" x14ac:dyDescent="0.3">
      <c r="B1447" s="39">
        <v>45952</v>
      </c>
      <c r="D1447" s="36" t="s">
        <v>355</v>
      </c>
      <c r="E1447" s="36" t="s">
        <v>1008</v>
      </c>
      <c r="F1447" s="36" t="s">
        <v>137</v>
      </c>
      <c r="L1447" s="42">
        <v>-60</v>
      </c>
    </row>
    <row r="1448" spans="2:12" ht="14.4" x14ac:dyDescent="0.3">
      <c r="B1448" s="39">
        <v>45953</v>
      </c>
      <c r="D1448" s="36" t="s">
        <v>355</v>
      </c>
      <c r="E1448" s="36" t="s">
        <v>1012</v>
      </c>
      <c r="F1448" s="36" t="s">
        <v>137</v>
      </c>
      <c r="L1448" s="42">
        <v>-60</v>
      </c>
    </row>
    <row r="1449" spans="2:12" ht="14.4" x14ac:dyDescent="0.3">
      <c r="B1449" s="39">
        <v>45953</v>
      </c>
      <c r="D1449" s="36" t="s">
        <v>940</v>
      </c>
      <c r="E1449" s="36" t="s">
        <v>1011</v>
      </c>
      <c r="F1449" s="36" t="s">
        <v>137</v>
      </c>
      <c r="L1449" s="42">
        <v>-900</v>
      </c>
    </row>
    <row r="1450" spans="2:12" ht="14.4" x14ac:dyDescent="0.3">
      <c r="B1450" s="39">
        <v>45953</v>
      </c>
      <c r="D1450" s="36" t="s">
        <v>355</v>
      </c>
      <c r="E1450" s="36" t="s">
        <v>1010</v>
      </c>
      <c r="F1450" s="36" t="s">
        <v>137</v>
      </c>
      <c r="L1450" s="42">
        <v>-60</v>
      </c>
    </row>
    <row r="1451" spans="2:12" ht="14.4" x14ac:dyDescent="0.3">
      <c r="B1451" s="39">
        <v>45953</v>
      </c>
      <c r="D1451" s="36" t="s">
        <v>57</v>
      </c>
      <c r="E1451" s="36" t="s">
        <v>346</v>
      </c>
      <c r="F1451" s="36" t="s">
        <v>193</v>
      </c>
      <c r="L1451" s="42">
        <v>-52</v>
      </c>
    </row>
    <row r="1452" spans="2:12" ht="14.4" x14ac:dyDescent="0.3">
      <c r="B1452" s="39">
        <v>45953</v>
      </c>
      <c r="D1452" s="36" t="s">
        <v>177</v>
      </c>
      <c r="E1452" s="36" t="s">
        <v>942</v>
      </c>
      <c r="F1452" s="36" t="s">
        <v>953</v>
      </c>
      <c r="L1452" s="42">
        <v>-57.66</v>
      </c>
    </row>
    <row r="1453" spans="2:12" ht="14.4" x14ac:dyDescent="0.3">
      <c r="B1453" s="39">
        <v>45953</v>
      </c>
      <c r="D1453" s="36" t="s">
        <v>110</v>
      </c>
      <c r="E1453" s="36" t="s">
        <v>311</v>
      </c>
      <c r="F1453" s="36" t="s">
        <v>310</v>
      </c>
      <c r="K1453" s="42">
        <f>-L1453</f>
        <v>-2079.9499999999998</v>
      </c>
      <c r="L1453" s="42">
        <v>2079.9499999999998</v>
      </c>
    </row>
    <row r="1454" spans="2:12" ht="14.4" x14ac:dyDescent="0.3">
      <c r="B1454" s="39">
        <v>45955</v>
      </c>
      <c r="D1454" s="36" t="s">
        <v>564</v>
      </c>
      <c r="E1454" s="36" t="s">
        <v>979</v>
      </c>
      <c r="F1454" s="36" t="s">
        <v>980</v>
      </c>
      <c r="L1454" s="42">
        <v>-7294</v>
      </c>
    </row>
    <row r="1455" spans="2:12" ht="14.4" x14ac:dyDescent="0.3">
      <c r="B1455" s="39">
        <v>45955</v>
      </c>
      <c r="D1455" s="36" t="s">
        <v>57</v>
      </c>
      <c r="E1455" s="36" t="s">
        <v>1013</v>
      </c>
      <c r="F1455" s="36" t="s">
        <v>282</v>
      </c>
      <c r="L1455" s="42">
        <v>-20</v>
      </c>
    </row>
    <row r="1456" spans="2:12" ht="14.4" x14ac:dyDescent="0.3">
      <c r="B1456" s="39">
        <v>45955</v>
      </c>
      <c r="D1456" s="36" t="s">
        <v>355</v>
      </c>
      <c r="E1456" s="36" t="s">
        <v>1016</v>
      </c>
      <c r="F1456" s="36" t="s">
        <v>137</v>
      </c>
      <c r="L1456" s="42">
        <v>-60</v>
      </c>
    </row>
    <row r="1457" spans="2:12" ht="14.4" x14ac:dyDescent="0.3">
      <c r="B1457" s="39">
        <v>45955</v>
      </c>
      <c r="D1457" s="36" t="s">
        <v>355</v>
      </c>
      <c r="E1457" s="36" t="s">
        <v>1019</v>
      </c>
      <c r="F1457" s="36" t="s">
        <v>137</v>
      </c>
      <c r="L1457" s="42">
        <v>-60</v>
      </c>
    </row>
    <row r="1458" spans="2:12" ht="14.4" x14ac:dyDescent="0.3">
      <c r="B1458" s="39">
        <v>45955</v>
      </c>
      <c r="D1458" s="36" t="s">
        <v>355</v>
      </c>
      <c r="E1458" s="36" t="s">
        <v>1017</v>
      </c>
      <c r="F1458" s="36" t="s">
        <v>137</v>
      </c>
      <c r="L1458" s="42">
        <v>-60</v>
      </c>
    </row>
    <row r="1459" spans="2:12" ht="14.4" x14ac:dyDescent="0.3">
      <c r="B1459" s="39">
        <v>45955</v>
      </c>
      <c r="D1459" s="36" t="s">
        <v>355</v>
      </c>
      <c r="E1459" s="36" t="s">
        <v>1018</v>
      </c>
      <c r="F1459" s="36" t="s">
        <v>137</v>
      </c>
      <c r="L1459" s="42">
        <v>-24</v>
      </c>
    </row>
    <row r="1460" spans="2:12" ht="14.4" x14ac:dyDescent="0.3">
      <c r="B1460" s="39">
        <v>45955</v>
      </c>
      <c r="D1460" s="36" t="s">
        <v>355</v>
      </c>
      <c r="E1460" s="36" t="s">
        <v>1021</v>
      </c>
      <c r="F1460" s="36" t="s">
        <v>137</v>
      </c>
      <c r="L1460" s="42">
        <v>-20.97</v>
      </c>
    </row>
    <row r="1461" spans="2:12" ht="14.4" x14ac:dyDescent="0.3">
      <c r="B1461" s="39">
        <v>45955</v>
      </c>
      <c r="D1461" s="36" t="s">
        <v>355</v>
      </c>
      <c r="E1461" s="36" t="s">
        <v>1014</v>
      </c>
      <c r="F1461" s="36" t="s">
        <v>137</v>
      </c>
      <c r="L1461" s="42">
        <v>-27</v>
      </c>
    </row>
    <row r="1462" spans="2:12" ht="14.4" x14ac:dyDescent="0.3">
      <c r="B1462" s="39">
        <v>45955</v>
      </c>
      <c r="D1462" s="36" t="s">
        <v>355</v>
      </c>
      <c r="E1462" s="36" t="s">
        <v>1020</v>
      </c>
      <c r="F1462" s="36" t="s">
        <v>137</v>
      </c>
      <c r="L1462" s="42">
        <v>-60</v>
      </c>
    </row>
    <row r="1463" spans="2:12" ht="14.4" x14ac:dyDescent="0.3">
      <c r="B1463" s="39">
        <v>45955</v>
      </c>
      <c r="D1463" s="36" t="s">
        <v>940</v>
      </c>
      <c r="E1463" s="36" t="s">
        <v>1015</v>
      </c>
      <c r="F1463" s="36" t="s">
        <v>137</v>
      </c>
      <c r="L1463" s="42">
        <v>-900</v>
      </c>
    </row>
    <row r="1464" spans="2:12" ht="14.4" x14ac:dyDescent="0.3">
      <c r="B1464" s="39">
        <v>45956</v>
      </c>
      <c r="D1464" s="36" t="s">
        <v>355</v>
      </c>
      <c r="E1464" s="36" t="s">
        <v>1023</v>
      </c>
      <c r="F1464" s="36" t="s">
        <v>137</v>
      </c>
      <c r="L1464" s="42">
        <v>-100</v>
      </c>
    </row>
    <row r="1465" spans="2:12" ht="14.4" x14ac:dyDescent="0.3">
      <c r="B1465" s="39">
        <v>45956</v>
      </c>
      <c r="D1465" s="36" t="s">
        <v>940</v>
      </c>
      <c r="E1465" s="36" t="s">
        <v>1022</v>
      </c>
      <c r="F1465" s="36" t="s">
        <v>137</v>
      </c>
      <c r="L1465" s="42">
        <v>-2622</v>
      </c>
    </row>
    <row r="1466" spans="2:12" ht="14.4" x14ac:dyDescent="0.3">
      <c r="B1466" s="39">
        <v>45956</v>
      </c>
      <c r="D1466" s="36" t="s">
        <v>355</v>
      </c>
      <c r="E1466" s="36" t="s">
        <v>1024</v>
      </c>
      <c r="F1466" s="36" t="s">
        <v>137</v>
      </c>
      <c r="L1466" s="42">
        <v>-30</v>
      </c>
    </row>
    <row r="1467" spans="2:12" ht="14.4" x14ac:dyDescent="0.3">
      <c r="B1467" s="39">
        <v>45956</v>
      </c>
      <c r="D1467" s="36" t="s">
        <v>355</v>
      </c>
      <c r="E1467" s="36" t="s">
        <v>1025</v>
      </c>
      <c r="F1467" s="36" t="s">
        <v>137</v>
      </c>
      <c r="L1467" s="42">
        <v>-60</v>
      </c>
    </row>
    <row r="1468" spans="2:12" ht="14.4" x14ac:dyDescent="0.3">
      <c r="B1468" s="39">
        <v>45957</v>
      </c>
      <c r="D1468" s="36" t="s">
        <v>355</v>
      </c>
      <c r="E1468" s="36" t="s">
        <v>1026</v>
      </c>
      <c r="F1468" s="36" t="s">
        <v>137</v>
      </c>
      <c r="L1468" s="42">
        <v>-100</v>
      </c>
    </row>
    <row r="1469" spans="2:12" ht="14.4" x14ac:dyDescent="0.3">
      <c r="B1469" s="39">
        <v>45957</v>
      </c>
      <c r="D1469" s="36" t="s">
        <v>355</v>
      </c>
      <c r="E1469" s="36" t="s">
        <v>1027</v>
      </c>
      <c r="F1469" s="36" t="s">
        <v>137</v>
      </c>
      <c r="L1469" s="42">
        <v>-60</v>
      </c>
    </row>
    <row r="1470" spans="2:12" ht="14.4" x14ac:dyDescent="0.3">
      <c r="B1470" s="39">
        <v>45957</v>
      </c>
      <c r="D1470" s="36" t="s">
        <v>355</v>
      </c>
      <c r="E1470" s="36" t="s">
        <v>1028</v>
      </c>
      <c r="F1470" s="36" t="s">
        <v>137</v>
      </c>
      <c r="L1470" s="42">
        <v>-33</v>
      </c>
    </row>
    <row r="1471" spans="2:12" ht="14.4" x14ac:dyDescent="0.3">
      <c r="B1471" s="39">
        <v>45957</v>
      </c>
      <c r="D1471" s="36" t="s">
        <v>355</v>
      </c>
      <c r="E1471" s="36" t="s">
        <v>1029</v>
      </c>
      <c r="F1471" s="36" t="s">
        <v>137</v>
      </c>
      <c r="L1471" s="42">
        <v>-60</v>
      </c>
    </row>
    <row r="1472" spans="2:12" ht="14.4" x14ac:dyDescent="0.3">
      <c r="B1472" s="39">
        <v>45957</v>
      </c>
      <c r="D1472" s="36" t="s">
        <v>940</v>
      </c>
      <c r="E1472" s="36" t="s">
        <v>1030</v>
      </c>
      <c r="F1472" s="36" t="s">
        <v>137</v>
      </c>
      <c r="L1472" s="42">
        <v>-900</v>
      </c>
    </row>
    <row r="1473" spans="2:12" ht="14.4" x14ac:dyDescent="0.3">
      <c r="B1473" s="39">
        <v>45957</v>
      </c>
      <c r="D1473" s="36" t="s">
        <v>940</v>
      </c>
      <c r="E1473" s="36" t="s">
        <v>264</v>
      </c>
      <c r="F1473" s="36" t="s">
        <v>121</v>
      </c>
      <c r="L1473" s="42">
        <v>-20</v>
      </c>
    </row>
    <row r="1474" spans="2:12" ht="14.4" x14ac:dyDescent="0.3">
      <c r="B1474" s="39">
        <v>45957</v>
      </c>
      <c r="D1474" s="36" t="s">
        <v>940</v>
      </c>
      <c r="E1474" s="36" t="s">
        <v>264</v>
      </c>
      <c r="F1474" s="36" t="s">
        <v>121</v>
      </c>
      <c r="L1474" s="42">
        <v>-20</v>
      </c>
    </row>
    <row r="1475" spans="2:12" ht="14.4" x14ac:dyDescent="0.3">
      <c r="B1475" s="39">
        <v>45957</v>
      </c>
      <c r="D1475" s="36" t="s">
        <v>940</v>
      </c>
      <c r="E1475" s="36" t="s">
        <v>264</v>
      </c>
      <c r="F1475" s="36" t="s">
        <v>121</v>
      </c>
      <c r="L1475" s="42">
        <v>-20</v>
      </c>
    </row>
    <row r="1476" spans="2:12" ht="14.4" x14ac:dyDescent="0.3">
      <c r="B1476" s="39">
        <v>45957</v>
      </c>
      <c r="D1476" s="36" t="s">
        <v>940</v>
      </c>
      <c r="E1476" s="36" t="s">
        <v>264</v>
      </c>
      <c r="F1476" s="36" t="s">
        <v>121</v>
      </c>
      <c r="L1476" s="42">
        <v>-20</v>
      </c>
    </row>
    <row r="1477" spans="2:12" ht="14.4" x14ac:dyDescent="0.3">
      <c r="B1477" s="39">
        <v>45957</v>
      </c>
      <c r="D1477" s="36" t="s">
        <v>940</v>
      </c>
      <c r="E1477" s="36" t="s">
        <v>264</v>
      </c>
      <c r="F1477" s="36" t="s">
        <v>121</v>
      </c>
      <c r="L1477" s="42">
        <v>-20</v>
      </c>
    </row>
    <row r="1478" spans="2:12" ht="14.4" x14ac:dyDescent="0.3">
      <c r="B1478" s="39">
        <v>45957</v>
      </c>
      <c r="D1478" s="36" t="s">
        <v>940</v>
      </c>
      <c r="E1478" s="36" t="s">
        <v>264</v>
      </c>
      <c r="F1478" s="36" t="s">
        <v>121</v>
      </c>
      <c r="L1478" s="42">
        <v>-20</v>
      </c>
    </row>
    <row r="1479" spans="2:12" ht="14.4" x14ac:dyDescent="0.3">
      <c r="B1479" s="39">
        <v>45957</v>
      </c>
      <c r="D1479" s="36" t="s">
        <v>940</v>
      </c>
      <c r="E1479" s="36" t="s">
        <v>264</v>
      </c>
      <c r="F1479" s="36" t="s">
        <v>121</v>
      </c>
      <c r="L1479" s="42">
        <v>-20</v>
      </c>
    </row>
    <row r="1480" spans="2:12" ht="14.4" x14ac:dyDescent="0.3">
      <c r="B1480" s="39">
        <v>45957</v>
      </c>
      <c r="D1480" s="36" t="s">
        <v>940</v>
      </c>
      <c r="E1480" s="36" t="s">
        <v>264</v>
      </c>
      <c r="F1480" s="36" t="s">
        <v>121</v>
      </c>
      <c r="L1480" s="42">
        <v>-20</v>
      </c>
    </row>
    <row r="1481" spans="2:12" ht="14.4" x14ac:dyDescent="0.3">
      <c r="B1481" s="39">
        <v>45957</v>
      </c>
      <c r="D1481" s="36" t="s">
        <v>940</v>
      </c>
      <c r="E1481" s="36" t="s">
        <v>264</v>
      </c>
      <c r="F1481" s="36" t="s">
        <v>121</v>
      </c>
      <c r="L1481" s="42">
        <v>-20</v>
      </c>
    </row>
    <row r="1482" spans="2:12" ht="14.4" x14ac:dyDescent="0.3">
      <c r="B1482" s="39">
        <v>45957</v>
      </c>
      <c r="D1482" s="36" t="s">
        <v>940</v>
      </c>
      <c r="E1482" s="36" t="s">
        <v>264</v>
      </c>
      <c r="F1482" s="36" t="s">
        <v>121</v>
      </c>
      <c r="L1482" s="42">
        <v>-20</v>
      </c>
    </row>
    <row r="1483" spans="2:12" ht="14.4" x14ac:dyDescent="0.3">
      <c r="B1483" s="39">
        <v>45957</v>
      </c>
      <c r="D1483" s="36" t="s">
        <v>940</v>
      </c>
      <c r="E1483" s="36" t="s">
        <v>264</v>
      </c>
      <c r="F1483" s="36" t="s">
        <v>121</v>
      </c>
      <c r="L1483" s="42">
        <v>-20</v>
      </c>
    </row>
    <row r="1484" spans="2:12" ht="14.4" x14ac:dyDescent="0.3">
      <c r="B1484" s="39">
        <v>45957</v>
      </c>
      <c r="D1484" s="36" t="s">
        <v>940</v>
      </c>
      <c r="E1484" s="36" t="s">
        <v>264</v>
      </c>
      <c r="F1484" s="36" t="s">
        <v>121</v>
      </c>
      <c r="L1484" s="42">
        <v>-20</v>
      </c>
    </row>
    <row r="1485" spans="2:12" ht="14.4" x14ac:dyDescent="0.3">
      <c r="B1485" s="39">
        <v>45957</v>
      </c>
      <c r="D1485" s="36" t="s">
        <v>940</v>
      </c>
      <c r="E1485" s="36" t="s">
        <v>264</v>
      </c>
      <c r="F1485" s="36" t="s">
        <v>121</v>
      </c>
      <c r="L1485" s="42">
        <v>-20</v>
      </c>
    </row>
    <row r="1486" spans="2:12" ht="14.4" x14ac:dyDescent="0.3">
      <c r="B1486" s="39">
        <v>45957</v>
      </c>
      <c r="D1486" s="36" t="s">
        <v>940</v>
      </c>
      <c r="E1486" s="36" t="s">
        <v>264</v>
      </c>
      <c r="F1486" s="36" t="s">
        <v>121</v>
      </c>
      <c r="L1486" s="42">
        <v>-20</v>
      </c>
    </row>
    <row r="1487" spans="2:12" ht="14.4" x14ac:dyDescent="0.3">
      <c r="B1487" s="39">
        <v>45957</v>
      </c>
      <c r="D1487" s="36" t="s">
        <v>940</v>
      </c>
      <c r="E1487" s="36" t="s">
        <v>264</v>
      </c>
      <c r="F1487" s="36" t="s">
        <v>121</v>
      </c>
      <c r="L1487" s="42">
        <v>-20</v>
      </c>
    </row>
    <row r="1488" spans="2:12" ht="14.4" x14ac:dyDescent="0.3">
      <c r="B1488" s="39">
        <v>45957</v>
      </c>
      <c r="D1488" s="36" t="s">
        <v>940</v>
      </c>
      <c r="E1488" s="36" t="s">
        <v>264</v>
      </c>
      <c r="F1488" s="36" t="s">
        <v>121</v>
      </c>
      <c r="L1488" s="42">
        <v>-20</v>
      </c>
    </row>
    <row r="1489" spans="2:12" ht="14.4" x14ac:dyDescent="0.3">
      <c r="B1489" s="39">
        <v>45957</v>
      </c>
      <c r="D1489" s="36" t="s">
        <v>940</v>
      </c>
      <c r="E1489" s="36" t="s">
        <v>264</v>
      </c>
      <c r="F1489" s="36" t="s">
        <v>121</v>
      </c>
      <c r="L1489" s="42">
        <v>-20</v>
      </c>
    </row>
    <row r="1490" spans="2:12" ht="14.4" x14ac:dyDescent="0.3">
      <c r="B1490" s="39">
        <v>45957</v>
      </c>
      <c r="D1490" s="36" t="s">
        <v>940</v>
      </c>
      <c r="E1490" s="36" t="s">
        <v>264</v>
      </c>
      <c r="F1490" s="36" t="s">
        <v>121</v>
      </c>
      <c r="L1490" s="42">
        <v>-20</v>
      </c>
    </row>
    <row r="1491" spans="2:12" ht="14.4" x14ac:dyDescent="0.3">
      <c r="B1491" s="39">
        <v>45957</v>
      </c>
      <c r="D1491" s="36" t="s">
        <v>940</v>
      </c>
      <c r="E1491" s="36" t="s">
        <v>264</v>
      </c>
      <c r="F1491" s="36" t="s">
        <v>121</v>
      </c>
      <c r="L1491" s="42">
        <v>-20</v>
      </c>
    </row>
    <row r="1492" spans="2:12" ht="14.4" x14ac:dyDescent="0.3">
      <c r="B1492" s="39">
        <v>45957</v>
      </c>
      <c r="D1492" s="36" t="s">
        <v>940</v>
      </c>
      <c r="E1492" s="36" t="s">
        <v>264</v>
      </c>
      <c r="F1492" s="36" t="s">
        <v>121</v>
      </c>
      <c r="L1492" s="42">
        <v>-20</v>
      </c>
    </row>
    <row r="1493" spans="2:12" ht="14.4" x14ac:dyDescent="0.3">
      <c r="B1493" s="39">
        <v>45957</v>
      </c>
      <c r="D1493" s="36" t="s">
        <v>940</v>
      </c>
      <c r="E1493" s="36" t="s">
        <v>264</v>
      </c>
      <c r="F1493" s="36" t="s">
        <v>121</v>
      </c>
      <c r="L1493" s="42">
        <v>-20</v>
      </c>
    </row>
    <row r="1494" spans="2:12" ht="14.4" x14ac:dyDescent="0.3">
      <c r="B1494" s="39">
        <v>45957</v>
      </c>
      <c r="D1494" s="36" t="s">
        <v>940</v>
      </c>
      <c r="E1494" s="36" t="s">
        <v>264</v>
      </c>
      <c r="F1494" s="36" t="s">
        <v>121</v>
      </c>
      <c r="L1494" s="42">
        <v>-20</v>
      </c>
    </row>
    <row r="1495" spans="2:12" ht="14.4" x14ac:dyDescent="0.3">
      <c r="B1495" s="39">
        <v>45957</v>
      </c>
      <c r="D1495" s="36" t="s">
        <v>940</v>
      </c>
      <c r="E1495" s="36" t="s">
        <v>264</v>
      </c>
      <c r="F1495" s="36" t="s">
        <v>121</v>
      </c>
      <c r="L1495" s="42">
        <v>-20</v>
      </c>
    </row>
    <row r="1496" spans="2:12" ht="14.4" x14ac:dyDescent="0.3">
      <c r="B1496" s="39">
        <v>45957</v>
      </c>
      <c r="D1496" s="36" t="s">
        <v>940</v>
      </c>
      <c r="E1496" s="1" t="s">
        <v>264</v>
      </c>
      <c r="F1496" s="36" t="s">
        <v>121</v>
      </c>
      <c r="L1496" s="42">
        <v>-20</v>
      </c>
    </row>
    <row r="1497" spans="2:12" ht="14.4" x14ac:dyDescent="0.3">
      <c r="B1497" s="39">
        <v>45957</v>
      </c>
      <c r="D1497" s="36" t="s">
        <v>940</v>
      </c>
      <c r="E1497" s="36" t="s">
        <v>264</v>
      </c>
      <c r="F1497" s="36" t="s">
        <v>121</v>
      </c>
      <c r="L1497" s="42">
        <v>-20</v>
      </c>
    </row>
    <row r="1498" spans="2:12" ht="14.4" x14ac:dyDescent="0.3">
      <c r="B1498" s="39">
        <v>45957</v>
      </c>
      <c r="D1498" s="36" t="s">
        <v>940</v>
      </c>
      <c r="E1498" s="36" t="s">
        <v>264</v>
      </c>
      <c r="F1498" s="36" t="s">
        <v>121</v>
      </c>
      <c r="L1498" s="42">
        <v>-20</v>
      </c>
    </row>
    <row r="1499" spans="2:12" ht="14.4" x14ac:dyDescent="0.3">
      <c r="B1499" s="39">
        <v>45957</v>
      </c>
      <c r="D1499" s="36" t="s">
        <v>940</v>
      </c>
      <c r="E1499" s="36" t="s">
        <v>264</v>
      </c>
      <c r="F1499" s="36" t="s">
        <v>121</v>
      </c>
      <c r="L1499" s="42">
        <v>-20</v>
      </c>
    </row>
    <row r="1500" spans="2:12" ht="14.4" x14ac:dyDescent="0.3">
      <c r="B1500" s="39">
        <v>45957</v>
      </c>
      <c r="D1500" s="36" t="s">
        <v>940</v>
      </c>
      <c r="E1500" s="36" t="s">
        <v>264</v>
      </c>
      <c r="F1500" s="36" t="s">
        <v>121</v>
      </c>
      <c r="L1500" s="42">
        <v>-20</v>
      </c>
    </row>
    <row r="1501" spans="2:12" ht="14.4" x14ac:dyDescent="0.3">
      <c r="B1501" s="39">
        <v>45957</v>
      </c>
      <c r="D1501" s="36" t="s">
        <v>940</v>
      </c>
      <c r="E1501" s="36" t="s">
        <v>264</v>
      </c>
      <c r="F1501" s="36" t="s">
        <v>121</v>
      </c>
      <c r="L1501" s="42">
        <v>-20</v>
      </c>
    </row>
    <row r="1502" spans="2:12" ht="14.4" x14ac:dyDescent="0.3">
      <c r="B1502" s="39">
        <v>45957</v>
      </c>
      <c r="D1502" s="36" t="s">
        <v>940</v>
      </c>
      <c r="E1502" s="36" t="s">
        <v>264</v>
      </c>
      <c r="F1502" s="36" t="s">
        <v>121</v>
      </c>
      <c r="L1502" s="42">
        <v>-20</v>
      </c>
    </row>
    <row r="1503" spans="2:12" ht="14.4" x14ac:dyDescent="0.3">
      <c r="B1503" s="39">
        <v>45957</v>
      </c>
      <c r="D1503" s="36" t="s">
        <v>940</v>
      </c>
      <c r="E1503" s="36" t="s">
        <v>264</v>
      </c>
      <c r="F1503" s="36" t="s">
        <v>121</v>
      </c>
      <c r="L1503" s="42">
        <v>-20</v>
      </c>
    </row>
    <row r="1504" spans="2:12" ht="14.4" x14ac:dyDescent="0.3">
      <c r="B1504" s="39">
        <v>45957</v>
      </c>
      <c r="D1504" s="36" t="s">
        <v>940</v>
      </c>
      <c r="E1504" s="36" t="s">
        <v>264</v>
      </c>
      <c r="F1504" s="36" t="s">
        <v>121</v>
      </c>
      <c r="L1504" s="42">
        <v>-20</v>
      </c>
    </row>
    <row r="1505" spans="2:12" ht="14.4" x14ac:dyDescent="0.3">
      <c r="B1505" s="39">
        <v>45957</v>
      </c>
      <c r="D1505" s="36" t="s">
        <v>940</v>
      </c>
      <c r="E1505" s="36" t="s">
        <v>264</v>
      </c>
      <c r="F1505" s="36" t="s">
        <v>121</v>
      </c>
      <c r="L1505" s="42">
        <v>-20</v>
      </c>
    </row>
    <row r="1506" spans="2:12" ht="14.4" x14ac:dyDescent="0.3">
      <c r="B1506" s="39">
        <v>45957</v>
      </c>
      <c r="D1506" s="36" t="s">
        <v>940</v>
      </c>
      <c r="E1506" s="36" t="s">
        <v>264</v>
      </c>
      <c r="F1506" s="36" t="s">
        <v>121</v>
      </c>
      <c r="L1506" s="42">
        <v>-20</v>
      </c>
    </row>
    <row r="1507" spans="2:12" ht="14.4" x14ac:dyDescent="0.3">
      <c r="B1507" s="39">
        <v>45957</v>
      </c>
      <c r="D1507" s="36" t="s">
        <v>940</v>
      </c>
      <c r="E1507" s="36" t="s">
        <v>264</v>
      </c>
      <c r="F1507" s="36" t="s">
        <v>121</v>
      </c>
      <c r="L1507" s="42">
        <v>-20</v>
      </c>
    </row>
    <row r="1508" spans="2:12" ht="14.4" x14ac:dyDescent="0.3">
      <c r="B1508" s="39">
        <v>45957</v>
      </c>
      <c r="D1508" s="36" t="s">
        <v>940</v>
      </c>
      <c r="E1508" s="36" t="s">
        <v>264</v>
      </c>
      <c r="F1508" s="36" t="s">
        <v>121</v>
      </c>
      <c r="L1508" s="42">
        <v>-20</v>
      </c>
    </row>
    <row r="1509" spans="2:12" ht="14.4" x14ac:dyDescent="0.3">
      <c r="B1509" s="39">
        <v>45957</v>
      </c>
      <c r="D1509" s="36" t="s">
        <v>940</v>
      </c>
      <c r="E1509" s="36" t="s">
        <v>264</v>
      </c>
      <c r="F1509" s="36" t="s">
        <v>121</v>
      </c>
      <c r="L1509" s="42">
        <v>-20</v>
      </c>
    </row>
    <row r="1510" spans="2:12" ht="14.4" x14ac:dyDescent="0.3">
      <c r="B1510" s="39">
        <v>45957</v>
      </c>
      <c r="D1510" s="36" t="s">
        <v>519</v>
      </c>
      <c r="E1510" s="36" t="s">
        <v>1120</v>
      </c>
      <c r="F1510" s="36" t="s">
        <v>524</v>
      </c>
      <c r="K1510" s="42">
        <v>1937</v>
      </c>
    </row>
    <row r="1511" spans="2:12" ht="14.4" x14ac:dyDescent="0.3">
      <c r="B1511" s="39">
        <v>45958</v>
      </c>
      <c r="D1511" s="36" t="s">
        <v>940</v>
      </c>
      <c r="E1511" s="36" t="s">
        <v>1031</v>
      </c>
      <c r="F1511" s="36" t="s">
        <v>137</v>
      </c>
      <c r="L1511" s="42">
        <v>-900</v>
      </c>
    </row>
    <row r="1512" spans="2:12" ht="14.4" x14ac:dyDescent="0.3">
      <c r="B1512" s="39">
        <v>45958</v>
      </c>
      <c r="D1512" s="36" t="s">
        <v>355</v>
      </c>
      <c r="E1512" s="36" t="s">
        <v>1032</v>
      </c>
      <c r="F1512" s="36" t="s">
        <v>137</v>
      </c>
      <c r="L1512" s="42">
        <v>-37</v>
      </c>
    </row>
    <row r="1513" spans="2:12" ht="14.4" x14ac:dyDescent="0.3">
      <c r="B1513" s="39">
        <v>45958</v>
      </c>
      <c r="D1513" s="36" t="s">
        <v>355</v>
      </c>
      <c r="E1513" s="36" t="s">
        <v>1033</v>
      </c>
      <c r="F1513" s="36" t="s">
        <v>137</v>
      </c>
      <c r="L1513" s="42">
        <v>-60</v>
      </c>
    </row>
    <row r="1514" spans="2:12" ht="14.4" x14ac:dyDescent="0.3">
      <c r="B1514" s="39">
        <v>45958</v>
      </c>
      <c r="D1514" s="36" t="s">
        <v>57</v>
      </c>
      <c r="E1514" s="36" t="s">
        <v>768</v>
      </c>
      <c r="F1514" s="36" t="s">
        <v>70</v>
      </c>
      <c r="L1514" s="42">
        <v>-21.51</v>
      </c>
    </row>
    <row r="1515" spans="2:12" ht="14.4" x14ac:dyDescent="0.3">
      <c r="B1515" s="39">
        <v>45958</v>
      </c>
      <c r="D1515" s="36" t="s">
        <v>57</v>
      </c>
      <c r="E1515" s="36" t="s">
        <v>768</v>
      </c>
      <c r="F1515" s="36" t="s">
        <v>70</v>
      </c>
      <c r="L1515" s="42">
        <v>-13.7</v>
      </c>
    </row>
    <row r="1516" spans="2:12" ht="14.4" x14ac:dyDescent="0.3">
      <c r="B1516" s="39">
        <v>45958</v>
      </c>
      <c r="D1516" s="36" t="s">
        <v>940</v>
      </c>
      <c r="E1516" s="36" t="s">
        <v>264</v>
      </c>
      <c r="F1516" s="36" t="s">
        <v>121</v>
      </c>
      <c r="L1516" s="42">
        <v>-20</v>
      </c>
    </row>
    <row r="1517" spans="2:12" ht="14.4" x14ac:dyDescent="0.3">
      <c r="B1517" s="39">
        <v>45958</v>
      </c>
      <c r="D1517" s="36" t="s">
        <v>940</v>
      </c>
      <c r="E1517" s="36" t="s">
        <v>264</v>
      </c>
      <c r="F1517" s="36" t="s">
        <v>121</v>
      </c>
      <c r="L1517" s="42">
        <v>-20</v>
      </c>
    </row>
    <row r="1518" spans="2:12" ht="14.4" x14ac:dyDescent="0.3">
      <c r="B1518" s="39">
        <v>45958</v>
      </c>
      <c r="D1518" s="36" t="s">
        <v>940</v>
      </c>
      <c r="E1518" s="36" t="s">
        <v>264</v>
      </c>
      <c r="F1518" s="36" t="s">
        <v>121</v>
      </c>
      <c r="L1518" s="42">
        <v>-20</v>
      </c>
    </row>
    <row r="1519" spans="2:12" ht="14.4" x14ac:dyDescent="0.3">
      <c r="B1519" s="39">
        <v>45958</v>
      </c>
      <c r="D1519" s="36" t="s">
        <v>940</v>
      </c>
      <c r="E1519" s="36" t="s">
        <v>264</v>
      </c>
      <c r="F1519" s="36" t="s">
        <v>121</v>
      </c>
      <c r="L1519" s="42">
        <v>-20</v>
      </c>
    </row>
    <row r="1520" spans="2:12" ht="14.4" x14ac:dyDescent="0.3">
      <c r="B1520" s="39">
        <v>45958</v>
      </c>
      <c r="D1520" s="36" t="s">
        <v>940</v>
      </c>
      <c r="E1520" s="36" t="s">
        <v>264</v>
      </c>
      <c r="F1520" s="36" t="s">
        <v>121</v>
      </c>
      <c r="L1520" s="42">
        <v>-20</v>
      </c>
    </row>
    <row r="1521" spans="2:12" ht="14.4" x14ac:dyDescent="0.3">
      <c r="B1521" s="39">
        <v>45958</v>
      </c>
      <c r="D1521" s="36" t="s">
        <v>940</v>
      </c>
      <c r="E1521" s="36" t="s">
        <v>264</v>
      </c>
      <c r="F1521" s="36" t="s">
        <v>121</v>
      </c>
      <c r="L1521" s="42">
        <v>-20</v>
      </c>
    </row>
    <row r="1522" spans="2:12" ht="14.4" x14ac:dyDescent="0.3">
      <c r="B1522" s="39">
        <v>45958</v>
      </c>
      <c r="D1522" s="36" t="s">
        <v>940</v>
      </c>
      <c r="E1522" s="36" t="s">
        <v>264</v>
      </c>
      <c r="F1522" s="36" t="s">
        <v>121</v>
      </c>
      <c r="L1522" s="42">
        <v>-20</v>
      </c>
    </row>
    <row r="1523" spans="2:12" ht="14.4" x14ac:dyDescent="0.3">
      <c r="B1523" s="39">
        <v>45958</v>
      </c>
      <c r="D1523" s="36" t="s">
        <v>940</v>
      </c>
      <c r="E1523" s="36" t="s">
        <v>264</v>
      </c>
      <c r="F1523" s="36" t="s">
        <v>121</v>
      </c>
      <c r="L1523" s="42">
        <v>-20</v>
      </c>
    </row>
    <row r="1524" spans="2:12" ht="14.4" x14ac:dyDescent="0.3">
      <c r="B1524" s="39">
        <v>45958</v>
      </c>
      <c r="D1524" s="36" t="s">
        <v>940</v>
      </c>
      <c r="E1524" s="36" t="s">
        <v>264</v>
      </c>
      <c r="F1524" s="36" t="s">
        <v>121</v>
      </c>
      <c r="L1524" s="42">
        <v>-20</v>
      </c>
    </row>
    <row r="1525" spans="2:12" ht="14.4" x14ac:dyDescent="0.3">
      <c r="B1525" s="39">
        <v>45958</v>
      </c>
      <c r="D1525" s="36" t="s">
        <v>940</v>
      </c>
      <c r="E1525" s="36" t="s">
        <v>264</v>
      </c>
      <c r="F1525" s="36" t="s">
        <v>121</v>
      </c>
      <c r="L1525" s="42">
        <v>-20</v>
      </c>
    </row>
    <row r="1526" spans="2:12" ht="14.4" x14ac:dyDescent="0.3">
      <c r="B1526" s="39">
        <v>45958</v>
      </c>
      <c r="D1526" s="36" t="s">
        <v>940</v>
      </c>
      <c r="E1526" s="36" t="s">
        <v>264</v>
      </c>
      <c r="F1526" s="36" t="s">
        <v>121</v>
      </c>
      <c r="L1526" s="42">
        <v>-20</v>
      </c>
    </row>
    <row r="1527" spans="2:12" ht="14.4" x14ac:dyDescent="0.3">
      <c r="B1527" s="39">
        <v>45958</v>
      </c>
      <c r="D1527" s="36" t="s">
        <v>940</v>
      </c>
      <c r="E1527" s="36" t="s">
        <v>264</v>
      </c>
      <c r="F1527" s="36" t="s">
        <v>121</v>
      </c>
      <c r="L1527" s="42">
        <v>-20</v>
      </c>
    </row>
    <row r="1528" spans="2:12" ht="14.4" x14ac:dyDescent="0.3">
      <c r="B1528" s="39">
        <v>45958</v>
      </c>
      <c r="D1528" s="36" t="s">
        <v>940</v>
      </c>
      <c r="E1528" s="36" t="s">
        <v>264</v>
      </c>
      <c r="F1528" s="36" t="s">
        <v>121</v>
      </c>
      <c r="L1528" s="42">
        <v>-20</v>
      </c>
    </row>
    <row r="1529" spans="2:12" ht="14.4" x14ac:dyDescent="0.3">
      <c r="B1529" s="39">
        <v>45958</v>
      </c>
      <c r="D1529" s="36" t="s">
        <v>940</v>
      </c>
      <c r="E1529" s="36" t="s">
        <v>264</v>
      </c>
      <c r="F1529" s="36" t="s">
        <v>121</v>
      </c>
      <c r="L1529" s="42">
        <v>-20</v>
      </c>
    </row>
    <row r="1530" spans="2:12" ht="14.4" x14ac:dyDescent="0.3">
      <c r="B1530" s="39">
        <v>45958</v>
      </c>
      <c r="D1530" s="36" t="s">
        <v>940</v>
      </c>
      <c r="E1530" s="36" t="s">
        <v>264</v>
      </c>
      <c r="F1530" s="36" t="s">
        <v>121</v>
      </c>
      <c r="L1530" s="42">
        <v>-20</v>
      </c>
    </row>
    <row r="1531" spans="2:12" ht="14.4" x14ac:dyDescent="0.3">
      <c r="B1531" s="39">
        <v>45958</v>
      </c>
      <c r="D1531" s="36" t="s">
        <v>940</v>
      </c>
      <c r="E1531" s="36" t="s">
        <v>264</v>
      </c>
      <c r="F1531" s="36" t="s">
        <v>121</v>
      </c>
      <c r="L1531" s="42">
        <v>-20</v>
      </c>
    </row>
    <row r="1532" spans="2:12" ht="14.4" x14ac:dyDescent="0.3">
      <c r="B1532" s="39">
        <v>45958</v>
      </c>
      <c r="D1532" s="36" t="s">
        <v>940</v>
      </c>
      <c r="E1532" s="36" t="s">
        <v>264</v>
      </c>
      <c r="F1532" s="36" t="s">
        <v>121</v>
      </c>
      <c r="L1532" s="42">
        <v>-20</v>
      </c>
    </row>
    <row r="1533" spans="2:12" ht="14.4" x14ac:dyDescent="0.3">
      <c r="B1533" s="39">
        <v>45958</v>
      </c>
      <c r="D1533" s="36" t="s">
        <v>940</v>
      </c>
      <c r="E1533" s="36" t="s">
        <v>264</v>
      </c>
      <c r="F1533" s="36" t="s">
        <v>121</v>
      </c>
      <c r="L1533" s="42">
        <v>-20</v>
      </c>
    </row>
    <row r="1534" spans="2:12" ht="14.4" x14ac:dyDescent="0.3">
      <c r="B1534" s="39">
        <v>45958</v>
      </c>
      <c r="D1534" s="36" t="s">
        <v>940</v>
      </c>
      <c r="E1534" s="36" t="s">
        <v>264</v>
      </c>
      <c r="F1534" s="36" t="s">
        <v>121</v>
      </c>
      <c r="L1534" s="42">
        <v>-20</v>
      </c>
    </row>
    <row r="1535" spans="2:12" ht="14.4" x14ac:dyDescent="0.3">
      <c r="B1535" s="39">
        <v>45958</v>
      </c>
      <c r="D1535" s="36" t="s">
        <v>940</v>
      </c>
      <c r="E1535" s="36" t="s">
        <v>264</v>
      </c>
      <c r="F1535" s="36" t="s">
        <v>121</v>
      </c>
      <c r="L1535" s="42">
        <v>-20</v>
      </c>
    </row>
    <row r="1536" spans="2:12" ht="0" hidden="1" customHeight="1" x14ac:dyDescent="0.3">
      <c r="B1536" s="39">
        <v>45958</v>
      </c>
    </row>
    <row r="1537" spans="2:12" ht="14.4" x14ac:dyDescent="0.3">
      <c r="B1537" s="39">
        <v>45958</v>
      </c>
      <c r="D1537" s="36" t="s">
        <v>940</v>
      </c>
      <c r="E1537" s="36" t="s">
        <v>264</v>
      </c>
      <c r="F1537" s="36" t="s">
        <v>121</v>
      </c>
      <c r="L1537" s="42">
        <v>-20</v>
      </c>
    </row>
    <row r="1538" spans="2:12" ht="14.4" x14ac:dyDescent="0.3">
      <c r="B1538" s="39">
        <v>45958</v>
      </c>
      <c r="D1538" s="36" t="s">
        <v>940</v>
      </c>
      <c r="E1538" s="36" t="s">
        <v>264</v>
      </c>
      <c r="F1538" s="36" t="s">
        <v>121</v>
      </c>
      <c r="L1538" s="42">
        <v>-20</v>
      </c>
    </row>
    <row r="1539" spans="2:12" ht="14.4" x14ac:dyDescent="0.3">
      <c r="B1539" s="39">
        <v>45959</v>
      </c>
      <c r="D1539" s="36" t="s">
        <v>355</v>
      </c>
      <c r="E1539" s="36" t="s">
        <v>1034</v>
      </c>
      <c r="F1539" s="36" t="s">
        <v>137</v>
      </c>
      <c r="L1539" s="42">
        <v>-100</v>
      </c>
    </row>
    <row r="1540" spans="2:12" ht="14.4" x14ac:dyDescent="0.3">
      <c r="B1540" s="39">
        <v>45959</v>
      </c>
      <c r="D1540" s="36" t="s">
        <v>355</v>
      </c>
      <c r="E1540" s="36" t="s">
        <v>1035</v>
      </c>
      <c r="F1540" s="36" t="s">
        <v>137</v>
      </c>
      <c r="L1540" s="42">
        <v>-60</v>
      </c>
    </row>
    <row r="1541" spans="2:12" ht="14.4" x14ac:dyDescent="0.3">
      <c r="B1541" s="39">
        <v>45959</v>
      </c>
      <c r="D1541" s="36" t="s">
        <v>355</v>
      </c>
      <c r="E1541" s="36" t="s">
        <v>1036</v>
      </c>
      <c r="F1541" s="36" t="s">
        <v>137</v>
      </c>
      <c r="L1541" s="42">
        <v>-41</v>
      </c>
    </row>
    <row r="1542" spans="2:12" ht="14.4" x14ac:dyDescent="0.3">
      <c r="B1542" s="39">
        <v>45959</v>
      </c>
      <c r="D1542" s="36" t="s">
        <v>940</v>
      </c>
      <c r="E1542" s="36" t="s">
        <v>264</v>
      </c>
      <c r="F1542" s="36" t="s">
        <v>121</v>
      </c>
      <c r="L1542" s="42">
        <v>-20</v>
      </c>
    </row>
    <row r="1543" spans="2:12" ht="14.4" x14ac:dyDescent="0.3">
      <c r="B1543" s="39">
        <v>45959</v>
      </c>
      <c r="D1543" s="36" t="s">
        <v>940</v>
      </c>
      <c r="E1543" s="36" t="s">
        <v>264</v>
      </c>
      <c r="F1543" s="36" t="s">
        <v>121</v>
      </c>
      <c r="L1543" s="42">
        <v>-20</v>
      </c>
    </row>
    <row r="1544" spans="2:12" ht="14.4" x14ac:dyDescent="0.3">
      <c r="B1544" s="39">
        <v>45959</v>
      </c>
      <c r="D1544" s="36" t="s">
        <v>940</v>
      </c>
      <c r="E1544" s="36" t="s">
        <v>264</v>
      </c>
      <c r="F1544" s="36" t="s">
        <v>121</v>
      </c>
      <c r="L1544" s="42">
        <v>-20</v>
      </c>
    </row>
    <row r="1545" spans="2:12" ht="14.4" x14ac:dyDescent="0.3">
      <c r="B1545" s="39">
        <v>45959</v>
      </c>
      <c r="D1545" s="36" t="s">
        <v>940</v>
      </c>
      <c r="E1545" s="36" t="s">
        <v>264</v>
      </c>
      <c r="F1545" s="36" t="s">
        <v>121</v>
      </c>
      <c r="L1545" s="42">
        <v>-20</v>
      </c>
    </row>
    <row r="1546" spans="2:12" ht="14.4" x14ac:dyDescent="0.3">
      <c r="B1546" s="39">
        <v>45959</v>
      </c>
      <c r="D1546" s="36" t="s">
        <v>940</v>
      </c>
      <c r="E1546" s="36" t="s">
        <v>264</v>
      </c>
      <c r="F1546" s="36" t="s">
        <v>121</v>
      </c>
      <c r="L1546" s="42">
        <v>-20</v>
      </c>
    </row>
    <row r="1547" spans="2:12" ht="14.4" x14ac:dyDescent="0.3">
      <c r="B1547" s="39">
        <v>45959</v>
      </c>
      <c r="D1547" s="36" t="s">
        <v>940</v>
      </c>
      <c r="E1547" s="36" t="s">
        <v>264</v>
      </c>
      <c r="F1547" s="36" t="s">
        <v>121</v>
      </c>
      <c r="L1547" s="42">
        <v>-20</v>
      </c>
    </row>
    <row r="1548" spans="2:12" ht="14.4" x14ac:dyDescent="0.3">
      <c r="B1548" s="39">
        <v>45959</v>
      </c>
      <c r="D1548" s="36" t="s">
        <v>940</v>
      </c>
      <c r="E1548" s="36" t="s">
        <v>264</v>
      </c>
      <c r="F1548" s="36" t="s">
        <v>121</v>
      </c>
      <c r="L1548" s="42">
        <v>-20</v>
      </c>
    </row>
    <row r="1549" spans="2:12" ht="14.4" x14ac:dyDescent="0.3">
      <c r="B1549" s="39">
        <v>45959</v>
      </c>
      <c r="D1549" s="36" t="s">
        <v>940</v>
      </c>
      <c r="E1549" s="36" t="s">
        <v>264</v>
      </c>
      <c r="F1549" s="36" t="s">
        <v>121</v>
      </c>
      <c r="L1549" s="42">
        <v>-20</v>
      </c>
    </row>
    <row r="1550" spans="2:12" ht="14.4" x14ac:dyDescent="0.3">
      <c r="B1550" s="39">
        <v>45959</v>
      </c>
      <c r="D1550" s="36" t="s">
        <v>940</v>
      </c>
      <c r="E1550" s="36" t="s">
        <v>264</v>
      </c>
      <c r="F1550" s="36" t="s">
        <v>121</v>
      </c>
      <c r="L1550" s="42">
        <v>-20</v>
      </c>
    </row>
    <row r="1551" spans="2:12" ht="14.4" x14ac:dyDescent="0.3">
      <c r="B1551" s="39">
        <v>45959</v>
      </c>
      <c r="D1551" s="36" t="s">
        <v>940</v>
      </c>
      <c r="E1551" s="36" t="s">
        <v>264</v>
      </c>
      <c r="F1551" s="36" t="s">
        <v>121</v>
      </c>
      <c r="L1551" s="42">
        <v>-20</v>
      </c>
    </row>
    <row r="1552" spans="2:12" ht="14.4" x14ac:dyDescent="0.3">
      <c r="B1552" s="39">
        <v>45959</v>
      </c>
      <c r="D1552" s="36" t="s">
        <v>940</v>
      </c>
      <c r="E1552" s="36" t="s">
        <v>264</v>
      </c>
      <c r="F1552" s="36" t="s">
        <v>121</v>
      </c>
      <c r="L1552" s="42">
        <v>-20</v>
      </c>
    </row>
    <row r="1553" spans="2:12" ht="14.4" x14ac:dyDescent="0.3">
      <c r="B1553" s="39">
        <v>45959</v>
      </c>
      <c r="D1553" s="36" t="s">
        <v>940</v>
      </c>
      <c r="E1553" s="36" t="s">
        <v>264</v>
      </c>
      <c r="F1553" s="36" t="s">
        <v>121</v>
      </c>
      <c r="L1553" s="42">
        <v>-20</v>
      </c>
    </row>
    <row r="1554" spans="2:12" ht="14.4" x14ac:dyDescent="0.3">
      <c r="B1554" s="39">
        <v>45959</v>
      </c>
      <c r="D1554" s="36" t="s">
        <v>940</v>
      </c>
      <c r="E1554" s="36" t="s">
        <v>264</v>
      </c>
      <c r="F1554" s="36" t="s">
        <v>121</v>
      </c>
      <c r="L1554" s="42">
        <v>-20</v>
      </c>
    </row>
    <row r="1555" spans="2:12" ht="14.4" x14ac:dyDescent="0.3">
      <c r="B1555" s="39">
        <v>45959</v>
      </c>
      <c r="D1555" s="36" t="s">
        <v>940</v>
      </c>
      <c r="E1555" s="36" t="s">
        <v>264</v>
      </c>
      <c r="F1555" s="36" t="s">
        <v>121</v>
      </c>
      <c r="L1555" s="42">
        <v>-20</v>
      </c>
    </row>
    <row r="1556" spans="2:12" ht="14.4" x14ac:dyDescent="0.3">
      <c r="B1556" s="39">
        <v>45959</v>
      </c>
      <c r="D1556" s="36" t="s">
        <v>940</v>
      </c>
      <c r="E1556" s="36" t="s">
        <v>264</v>
      </c>
      <c r="F1556" s="36" t="s">
        <v>121</v>
      </c>
      <c r="L1556" s="42">
        <v>-20</v>
      </c>
    </row>
    <row r="1557" spans="2:12" ht="14.4" x14ac:dyDescent="0.3">
      <c r="B1557" s="39">
        <v>45959</v>
      </c>
      <c r="D1557" s="36" t="s">
        <v>940</v>
      </c>
      <c r="E1557" s="36" t="s">
        <v>264</v>
      </c>
      <c r="F1557" s="36" t="s">
        <v>121</v>
      </c>
      <c r="L1557" s="42">
        <v>-20</v>
      </c>
    </row>
    <row r="1558" spans="2:12" ht="14.4" x14ac:dyDescent="0.3">
      <c r="B1558" s="39">
        <v>45959</v>
      </c>
      <c r="D1558" s="36" t="s">
        <v>940</v>
      </c>
      <c r="E1558" s="36" t="s">
        <v>264</v>
      </c>
      <c r="F1558" s="36" t="s">
        <v>121</v>
      </c>
      <c r="L1558" s="42">
        <v>-20</v>
      </c>
    </row>
    <row r="1559" spans="2:12" ht="14.4" x14ac:dyDescent="0.3">
      <c r="B1559" s="39">
        <v>45959</v>
      </c>
      <c r="D1559" s="36" t="s">
        <v>940</v>
      </c>
      <c r="E1559" s="36" t="s">
        <v>264</v>
      </c>
      <c r="F1559" s="36" t="s">
        <v>121</v>
      </c>
      <c r="L1559" s="42">
        <v>-20</v>
      </c>
    </row>
    <row r="1560" spans="2:12" ht="14.4" x14ac:dyDescent="0.3">
      <c r="B1560" s="39">
        <v>45959</v>
      </c>
      <c r="D1560" s="36" t="s">
        <v>940</v>
      </c>
      <c r="E1560" s="36" t="s">
        <v>264</v>
      </c>
      <c r="F1560" s="36" t="s">
        <v>121</v>
      </c>
      <c r="L1560" s="42">
        <v>-20</v>
      </c>
    </row>
    <row r="1561" spans="2:12" ht="14.4" x14ac:dyDescent="0.3">
      <c r="B1561" s="39">
        <v>45959</v>
      </c>
      <c r="D1561" s="36" t="s">
        <v>940</v>
      </c>
      <c r="E1561" s="36" t="s">
        <v>264</v>
      </c>
      <c r="F1561" s="36" t="s">
        <v>121</v>
      </c>
      <c r="L1561" s="42">
        <v>-20</v>
      </c>
    </row>
    <row r="1562" spans="2:12" ht="14.4" x14ac:dyDescent="0.3">
      <c r="B1562" s="39">
        <v>45959</v>
      </c>
      <c r="D1562" s="36" t="s">
        <v>940</v>
      </c>
      <c r="E1562" s="36" t="s">
        <v>264</v>
      </c>
      <c r="F1562" s="36" t="s">
        <v>121</v>
      </c>
      <c r="L1562" s="42">
        <v>-20</v>
      </c>
    </row>
    <row r="1563" spans="2:12" ht="14.4" x14ac:dyDescent="0.3">
      <c r="B1563" s="39">
        <v>45959</v>
      </c>
      <c r="D1563" s="36" t="s">
        <v>940</v>
      </c>
      <c r="E1563" s="36" t="s">
        <v>264</v>
      </c>
      <c r="F1563" s="36" t="s">
        <v>121</v>
      </c>
      <c r="L1563" s="42">
        <v>-20</v>
      </c>
    </row>
    <row r="1564" spans="2:12" ht="14.4" x14ac:dyDescent="0.3">
      <c r="B1564" s="39">
        <v>45959</v>
      </c>
      <c r="D1564" s="36" t="s">
        <v>940</v>
      </c>
      <c r="E1564" s="36" t="s">
        <v>264</v>
      </c>
      <c r="F1564" s="36" t="s">
        <v>121</v>
      </c>
      <c r="L1564" s="42">
        <v>-20</v>
      </c>
    </row>
    <row r="1565" spans="2:12" ht="14.4" x14ac:dyDescent="0.3">
      <c r="B1565" s="39">
        <v>45959</v>
      </c>
      <c r="D1565" s="36" t="s">
        <v>940</v>
      </c>
      <c r="E1565" s="36" t="s">
        <v>264</v>
      </c>
      <c r="F1565" s="36" t="s">
        <v>121</v>
      </c>
      <c r="L1565" s="42">
        <v>-20</v>
      </c>
    </row>
    <row r="1566" spans="2:12" ht="14.4" x14ac:dyDescent="0.3">
      <c r="B1566" s="39">
        <v>45959</v>
      </c>
      <c r="D1566" s="36" t="s">
        <v>940</v>
      </c>
      <c r="E1566" s="36" t="s">
        <v>264</v>
      </c>
      <c r="F1566" s="36" t="s">
        <v>121</v>
      </c>
      <c r="L1566" s="42">
        <v>-20</v>
      </c>
    </row>
    <row r="1567" spans="2:12" ht="14.4" x14ac:dyDescent="0.3">
      <c r="B1567" s="39">
        <v>45959</v>
      </c>
      <c r="D1567" s="36" t="s">
        <v>940</v>
      </c>
      <c r="E1567" s="36" t="s">
        <v>264</v>
      </c>
      <c r="F1567" s="36" t="s">
        <v>121</v>
      </c>
      <c r="L1567" s="42">
        <v>-20</v>
      </c>
    </row>
    <row r="1568" spans="2:12" ht="14.4" x14ac:dyDescent="0.3">
      <c r="B1568" s="39">
        <v>45959</v>
      </c>
      <c r="D1568" s="36" t="s">
        <v>940</v>
      </c>
      <c r="E1568" s="36" t="s">
        <v>264</v>
      </c>
      <c r="F1568" s="36" t="s">
        <v>121</v>
      </c>
      <c r="L1568" s="42">
        <v>-20</v>
      </c>
    </row>
    <row r="1569" spans="2:12" ht="14.4" x14ac:dyDescent="0.3">
      <c r="B1569" s="39">
        <v>45959</v>
      </c>
      <c r="D1569" s="36" t="s">
        <v>940</v>
      </c>
      <c r="E1569" s="36" t="s">
        <v>264</v>
      </c>
      <c r="F1569" s="36" t="s">
        <v>121</v>
      </c>
      <c r="L1569" s="42">
        <v>-20</v>
      </c>
    </row>
    <row r="1570" spans="2:12" ht="14.4" x14ac:dyDescent="0.3">
      <c r="B1570" s="39">
        <v>45960</v>
      </c>
      <c r="D1570" s="36" t="s">
        <v>355</v>
      </c>
      <c r="E1570" s="36" t="s">
        <v>1037</v>
      </c>
      <c r="F1570" s="36" t="s">
        <v>137</v>
      </c>
      <c r="L1570" s="42">
        <v>-60</v>
      </c>
    </row>
    <row r="1571" spans="2:12" ht="14.4" x14ac:dyDescent="0.3">
      <c r="B1571" s="39">
        <v>45960</v>
      </c>
      <c r="D1571" s="36" t="s">
        <v>355</v>
      </c>
      <c r="E1571" s="36" t="s">
        <v>1038</v>
      </c>
      <c r="F1571" s="36" t="s">
        <v>137</v>
      </c>
      <c r="L1571" s="42">
        <v>-60</v>
      </c>
    </row>
    <row r="1572" spans="2:12" ht="14.4" x14ac:dyDescent="0.3">
      <c r="B1572" s="39">
        <v>45960</v>
      </c>
      <c r="D1572" s="36" t="s">
        <v>940</v>
      </c>
      <c r="E1572" s="36" t="s">
        <v>1039</v>
      </c>
      <c r="F1572" s="36" t="s">
        <v>137</v>
      </c>
      <c r="L1572" s="42">
        <v>-900</v>
      </c>
    </row>
    <row r="1573" spans="2:12" ht="14.4" x14ac:dyDescent="0.3">
      <c r="B1573" s="39">
        <v>45960</v>
      </c>
      <c r="D1573" s="36" t="s">
        <v>940</v>
      </c>
      <c r="E1573" s="36" t="s">
        <v>264</v>
      </c>
      <c r="F1573" s="36" t="s">
        <v>121</v>
      </c>
      <c r="L1573" s="42">
        <v>-20</v>
      </c>
    </row>
    <row r="1574" spans="2:12" ht="14.4" x14ac:dyDescent="0.3">
      <c r="B1574" s="39">
        <v>45960</v>
      </c>
      <c r="D1574" s="36" t="s">
        <v>940</v>
      </c>
      <c r="E1574" s="36" t="s">
        <v>264</v>
      </c>
      <c r="F1574" s="36" t="s">
        <v>121</v>
      </c>
      <c r="L1574" s="42">
        <v>-20</v>
      </c>
    </row>
    <row r="1575" spans="2:12" ht="14.4" x14ac:dyDescent="0.3">
      <c r="B1575" s="39">
        <v>45960</v>
      </c>
      <c r="D1575" s="36" t="s">
        <v>940</v>
      </c>
      <c r="E1575" s="36" t="s">
        <v>264</v>
      </c>
      <c r="F1575" s="36" t="s">
        <v>121</v>
      </c>
      <c r="L1575" s="42">
        <v>-20</v>
      </c>
    </row>
    <row r="1576" spans="2:12" ht="14.4" x14ac:dyDescent="0.3">
      <c r="B1576" s="39">
        <v>45960</v>
      </c>
      <c r="D1576" s="36" t="s">
        <v>940</v>
      </c>
      <c r="E1576" s="36" t="s">
        <v>264</v>
      </c>
      <c r="F1576" s="36" t="s">
        <v>121</v>
      </c>
      <c r="L1576" s="42">
        <v>-20</v>
      </c>
    </row>
    <row r="1577" spans="2:12" ht="14.4" x14ac:dyDescent="0.3">
      <c r="B1577" s="39">
        <v>45960</v>
      </c>
      <c r="D1577" s="36" t="s">
        <v>940</v>
      </c>
      <c r="E1577" s="36" t="s">
        <v>264</v>
      </c>
      <c r="F1577" s="36" t="s">
        <v>121</v>
      </c>
      <c r="L1577" s="42">
        <v>-20</v>
      </c>
    </row>
    <row r="1578" spans="2:12" ht="14.4" x14ac:dyDescent="0.3">
      <c r="B1578" s="39">
        <v>45960</v>
      </c>
      <c r="D1578" s="36" t="s">
        <v>940</v>
      </c>
      <c r="E1578" s="36" t="s">
        <v>264</v>
      </c>
      <c r="F1578" s="36" t="s">
        <v>121</v>
      </c>
      <c r="L1578" s="42">
        <v>-20</v>
      </c>
    </row>
    <row r="1579" spans="2:12" ht="14.4" x14ac:dyDescent="0.3">
      <c r="B1579" s="39">
        <v>45960</v>
      </c>
      <c r="D1579" s="36" t="s">
        <v>940</v>
      </c>
      <c r="E1579" s="36" t="s">
        <v>264</v>
      </c>
      <c r="F1579" s="36" t="s">
        <v>121</v>
      </c>
      <c r="L1579" s="42">
        <v>-20</v>
      </c>
    </row>
    <row r="1580" spans="2:12" ht="14.4" x14ac:dyDescent="0.3">
      <c r="B1580" s="39">
        <v>45960</v>
      </c>
      <c r="D1580" s="36" t="s">
        <v>940</v>
      </c>
      <c r="E1580" s="36" t="s">
        <v>264</v>
      </c>
      <c r="F1580" s="36" t="s">
        <v>121</v>
      </c>
      <c r="L1580" s="42">
        <v>-20</v>
      </c>
    </row>
    <row r="1581" spans="2:12" ht="14.4" x14ac:dyDescent="0.3">
      <c r="B1581" s="39">
        <v>45960</v>
      </c>
      <c r="D1581" s="36" t="s">
        <v>940</v>
      </c>
      <c r="E1581" s="36" t="s">
        <v>264</v>
      </c>
      <c r="F1581" s="36" t="s">
        <v>121</v>
      </c>
      <c r="L1581" s="42">
        <v>-20</v>
      </c>
    </row>
    <row r="1582" spans="2:12" ht="14.4" x14ac:dyDescent="0.3">
      <c r="B1582" s="39">
        <v>45960</v>
      </c>
      <c r="D1582" s="36" t="s">
        <v>940</v>
      </c>
      <c r="E1582" s="36" t="s">
        <v>264</v>
      </c>
      <c r="F1582" s="36" t="s">
        <v>121</v>
      </c>
      <c r="L1582" s="42">
        <v>-20</v>
      </c>
    </row>
    <row r="1583" spans="2:12" ht="14.4" x14ac:dyDescent="0.3">
      <c r="B1583" s="39">
        <v>45960</v>
      </c>
      <c r="D1583" s="36" t="s">
        <v>940</v>
      </c>
      <c r="E1583" s="36" t="s">
        <v>264</v>
      </c>
      <c r="F1583" s="36" t="s">
        <v>121</v>
      </c>
      <c r="L1583" s="42">
        <v>-20</v>
      </c>
    </row>
    <row r="1584" spans="2:12" ht="14.4" x14ac:dyDescent="0.3">
      <c r="B1584" s="39">
        <v>45960</v>
      </c>
      <c r="D1584" s="36" t="s">
        <v>940</v>
      </c>
      <c r="E1584" s="36" t="s">
        <v>264</v>
      </c>
      <c r="F1584" s="36" t="s">
        <v>121</v>
      </c>
      <c r="L1584" s="42">
        <v>-20</v>
      </c>
    </row>
    <row r="1585" spans="2:12" ht="14.4" x14ac:dyDescent="0.3">
      <c r="B1585" s="39">
        <v>45960</v>
      </c>
      <c r="D1585" s="36" t="s">
        <v>940</v>
      </c>
      <c r="E1585" s="36" t="s">
        <v>264</v>
      </c>
      <c r="F1585" s="36" t="s">
        <v>121</v>
      </c>
      <c r="L1585" s="42">
        <v>-20</v>
      </c>
    </row>
    <row r="1586" spans="2:12" ht="14.4" x14ac:dyDescent="0.3">
      <c r="B1586" s="39">
        <v>45960</v>
      </c>
      <c r="D1586" s="36" t="s">
        <v>940</v>
      </c>
      <c r="E1586" s="36" t="s">
        <v>264</v>
      </c>
      <c r="F1586" s="36" t="s">
        <v>121</v>
      </c>
      <c r="L1586" s="42">
        <v>-20</v>
      </c>
    </row>
    <row r="1587" spans="2:12" ht="14.4" x14ac:dyDescent="0.3">
      <c r="B1587" s="39">
        <v>45960</v>
      </c>
      <c r="D1587" s="36" t="s">
        <v>940</v>
      </c>
      <c r="E1587" s="36" t="s">
        <v>264</v>
      </c>
      <c r="F1587" s="36" t="s">
        <v>121</v>
      </c>
      <c r="L1587" s="42">
        <v>-20</v>
      </c>
    </row>
    <row r="1588" spans="2:12" ht="14.4" x14ac:dyDescent="0.3">
      <c r="B1588" s="39">
        <v>45960</v>
      </c>
      <c r="D1588" s="36" t="s">
        <v>940</v>
      </c>
      <c r="E1588" s="36" t="s">
        <v>264</v>
      </c>
      <c r="F1588" s="36" t="s">
        <v>121</v>
      </c>
      <c r="L1588" s="42">
        <v>-20</v>
      </c>
    </row>
    <row r="1589" spans="2:12" ht="14.4" x14ac:dyDescent="0.3">
      <c r="B1589" s="39">
        <v>45960</v>
      </c>
      <c r="D1589" s="36" t="s">
        <v>940</v>
      </c>
      <c r="E1589" s="36" t="s">
        <v>264</v>
      </c>
      <c r="F1589" s="36" t="s">
        <v>121</v>
      </c>
      <c r="L1589" s="42">
        <v>-20</v>
      </c>
    </row>
    <row r="1590" spans="2:12" ht="14.4" x14ac:dyDescent="0.3">
      <c r="B1590" s="39">
        <v>45960</v>
      </c>
      <c r="D1590" s="36" t="s">
        <v>940</v>
      </c>
      <c r="E1590" s="36" t="s">
        <v>264</v>
      </c>
      <c r="F1590" s="36" t="s">
        <v>121</v>
      </c>
      <c r="L1590" s="42">
        <v>-20</v>
      </c>
    </row>
    <row r="1591" spans="2:12" ht="14.4" x14ac:dyDescent="0.3">
      <c r="B1591" s="39">
        <v>45960</v>
      </c>
      <c r="D1591" s="36" t="s">
        <v>940</v>
      </c>
      <c r="E1591" s="36" t="s">
        <v>264</v>
      </c>
      <c r="F1591" s="36" t="s">
        <v>121</v>
      </c>
      <c r="L1591" s="42">
        <v>-20</v>
      </c>
    </row>
    <row r="1592" spans="2:12" ht="14.4" x14ac:dyDescent="0.3">
      <c r="B1592" s="39">
        <v>45960</v>
      </c>
      <c r="D1592" s="36" t="s">
        <v>940</v>
      </c>
      <c r="E1592" s="36" t="s">
        <v>264</v>
      </c>
      <c r="F1592" s="36" t="s">
        <v>121</v>
      </c>
      <c r="L1592" s="42">
        <v>-20</v>
      </c>
    </row>
    <row r="1593" spans="2:12" ht="14.4" x14ac:dyDescent="0.3">
      <c r="B1593" s="39">
        <v>45960</v>
      </c>
      <c r="D1593" s="36" t="s">
        <v>940</v>
      </c>
      <c r="E1593" s="36" t="s">
        <v>264</v>
      </c>
      <c r="F1593" s="36" t="s">
        <v>121</v>
      </c>
      <c r="L1593" s="42">
        <v>-20</v>
      </c>
    </row>
    <row r="1594" spans="2:12" ht="14.4" x14ac:dyDescent="0.3">
      <c r="B1594" s="39">
        <v>45960</v>
      </c>
      <c r="D1594" s="36" t="s">
        <v>940</v>
      </c>
      <c r="E1594" s="36" t="s">
        <v>264</v>
      </c>
      <c r="F1594" s="36" t="s">
        <v>121</v>
      </c>
      <c r="L1594" s="42">
        <v>-20</v>
      </c>
    </row>
    <row r="1595" spans="2:12" ht="14.4" x14ac:dyDescent="0.3">
      <c r="B1595" s="39">
        <v>45960</v>
      </c>
      <c r="D1595" s="36" t="s">
        <v>940</v>
      </c>
      <c r="E1595" s="36" t="s">
        <v>264</v>
      </c>
      <c r="F1595" s="36" t="s">
        <v>121</v>
      </c>
      <c r="L1595" s="42">
        <v>-20</v>
      </c>
    </row>
    <row r="1596" spans="2:12" ht="14.4" x14ac:dyDescent="0.3">
      <c r="B1596" s="39">
        <v>45960</v>
      </c>
      <c r="D1596" s="36" t="s">
        <v>940</v>
      </c>
      <c r="E1596" s="36" t="s">
        <v>264</v>
      </c>
      <c r="F1596" s="36" t="s">
        <v>121</v>
      </c>
      <c r="L1596" s="42">
        <v>-20</v>
      </c>
    </row>
    <row r="1597" spans="2:12" ht="14.4" x14ac:dyDescent="0.3">
      <c r="B1597" s="39">
        <v>45960</v>
      </c>
      <c r="D1597" s="36" t="s">
        <v>940</v>
      </c>
      <c r="E1597" s="36" t="s">
        <v>264</v>
      </c>
      <c r="F1597" s="36" t="s">
        <v>121</v>
      </c>
      <c r="L1597" s="42">
        <v>-20</v>
      </c>
    </row>
    <row r="1598" spans="2:12" ht="14.4" x14ac:dyDescent="0.3">
      <c r="B1598" s="39">
        <v>45960</v>
      </c>
      <c r="D1598" s="36" t="s">
        <v>940</v>
      </c>
      <c r="E1598" s="36" t="s">
        <v>264</v>
      </c>
      <c r="F1598" s="36" t="s">
        <v>121</v>
      </c>
      <c r="L1598" s="42">
        <v>-20</v>
      </c>
    </row>
    <row r="1599" spans="2:12" ht="14.4" x14ac:dyDescent="0.3">
      <c r="B1599" s="39">
        <v>45960</v>
      </c>
      <c r="D1599" s="36" t="s">
        <v>940</v>
      </c>
      <c r="E1599" s="36" t="s">
        <v>264</v>
      </c>
      <c r="F1599" s="36" t="s">
        <v>121</v>
      </c>
      <c r="L1599" s="42">
        <v>-20</v>
      </c>
    </row>
    <row r="1600" spans="2:12" ht="14.4" x14ac:dyDescent="0.3">
      <c r="B1600" s="39">
        <v>45960</v>
      </c>
      <c r="D1600" s="36" t="s">
        <v>940</v>
      </c>
      <c r="E1600" s="36" t="s">
        <v>264</v>
      </c>
      <c r="F1600" s="36" t="s">
        <v>121</v>
      </c>
      <c r="L1600" s="42">
        <v>-20</v>
      </c>
    </row>
    <row r="1601" spans="2:12" ht="14.4" x14ac:dyDescent="0.3">
      <c r="B1601" s="39">
        <v>45960</v>
      </c>
      <c r="D1601" s="36" t="s">
        <v>940</v>
      </c>
      <c r="E1601" s="36" t="s">
        <v>264</v>
      </c>
      <c r="F1601" s="36" t="s">
        <v>121</v>
      </c>
      <c r="L1601" s="42">
        <v>-20</v>
      </c>
    </row>
    <row r="1602" spans="2:12" ht="14.4" x14ac:dyDescent="0.3">
      <c r="B1602" s="39">
        <v>45960</v>
      </c>
      <c r="D1602" s="36" t="s">
        <v>940</v>
      </c>
      <c r="E1602" s="36" t="s">
        <v>264</v>
      </c>
      <c r="F1602" s="36" t="s">
        <v>121</v>
      </c>
      <c r="L1602" s="42">
        <v>-20</v>
      </c>
    </row>
    <row r="1603" spans="2:12" ht="14.4" x14ac:dyDescent="0.3">
      <c r="B1603" s="39">
        <v>45960</v>
      </c>
      <c r="D1603" s="36" t="s">
        <v>940</v>
      </c>
      <c r="E1603" s="36" t="s">
        <v>264</v>
      </c>
      <c r="F1603" s="36" t="s">
        <v>121</v>
      </c>
      <c r="L1603" s="42">
        <v>-20</v>
      </c>
    </row>
    <row r="1604" spans="2:12" ht="14.4" x14ac:dyDescent="0.3">
      <c r="B1604" s="39">
        <v>45960</v>
      </c>
      <c r="D1604" s="36" t="s">
        <v>940</v>
      </c>
      <c r="E1604" s="36" t="s">
        <v>264</v>
      </c>
      <c r="F1604" s="36" t="s">
        <v>121</v>
      </c>
      <c r="L1604" s="42">
        <v>-20</v>
      </c>
    </row>
    <row r="1605" spans="2:12" ht="14.4" x14ac:dyDescent="0.3">
      <c r="B1605" s="39">
        <v>45960</v>
      </c>
      <c r="D1605" s="36" t="s">
        <v>940</v>
      </c>
      <c r="E1605" s="36" t="s">
        <v>264</v>
      </c>
      <c r="F1605" s="36" t="s">
        <v>121</v>
      </c>
      <c r="L1605" s="42">
        <v>-20</v>
      </c>
    </row>
    <row r="1606" spans="2:12" ht="14.4" x14ac:dyDescent="0.3">
      <c r="B1606" s="39">
        <v>45960</v>
      </c>
      <c r="D1606" s="36" t="s">
        <v>940</v>
      </c>
      <c r="E1606" s="36" t="s">
        <v>264</v>
      </c>
      <c r="F1606" s="36" t="s">
        <v>121</v>
      </c>
      <c r="L1606" s="42">
        <v>-20</v>
      </c>
    </row>
    <row r="1607" spans="2:12" ht="14.4" x14ac:dyDescent="0.3">
      <c r="B1607" s="39">
        <v>45960</v>
      </c>
      <c r="D1607" s="36" t="s">
        <v>940</v>
      </c>
      <c r="E1607" s="36" t="s">
        <v>264</v>
      </c>
      <c r="F1607" s="36" t="s">
        <v>121</v>
      </c>
      <c r="L1607" s="42">
        <v>-20</v>
      </c>
    </row>
    <row r="1608" spans="2:12" ht="14.4" x14ac:dyDescent="0.3">
      <c r="B1608" s="39">
        <v>45960</v>
      </c>
      <c r="D1608" s="36" t="s">
        <v>940</v>
      </c>
      <c r="E1608" s="36" t="s">
        <v>264</v>
      </c>
      <c r="F1608" s="36" t="s">
        <v>121</v>
      </c>
      <c r="L1608" s="42">
        <v>-20</v>
      </c>
    </row>
    <row r="1609" spans="2:12" ht="14.4" x14ac:dyDescent="0.3">
      <c r="B1609" s="39">
        <v>45960</v>
      </c>
      <c r="D1609" s="36" t="s">
        <v>940</v>
      </c>
      <c r="E1609" s="36" t="s">
        <v>264</v>
      </c>
      <c r="F1609" s="36" t="s">
        <v>121</v>
      </c>
      <c r="L1609" s="42">
        <v>-20</v>
      </c>
    </row>
    <row r="1610" spans="2:12" ht="14.4" x14ac:dyDescent="0.3">
      <c r="B1610" s="39">
        <v>45960</v>
      </c>
      <c r="D1610" s="36" t="s">
        <v>940</v>
      </c>
      <c r="E1610" s="36" t="s">
        <v>264</v>
      </c>
      <c r="F1610" s="36" t="s">
        <v>121</v>
      </c>
      <c r="L1610" s="42">
        <v>-20</v>
      </c>
    </row>
    <row r="1611" spans="2:12" ht="14.4" x14ac:dyDescent="0.3">
      <c r="B1611" s="39">
        <v>45960</v>
      </c>
      <c r="D1611" s="36" t="s">
        <v>940</v>
      </c>
      <c r="E1611" s="36" t="s">
        <v>264</v>
      </c>
      <c r="F1611" s="36" t="s">
        <v>121</v>
      </c>
      <c r="L1611" s="42">
        <v>-20</v>
      </c>
    </row>
    <row r="1612" spans="2:12" ht="14.4" x14ac:dyDescent="0.3">
      <c r="B1612" s="39">
        <v>45960</v>
      </c>
      <c r="D1612" s="36" t="s">
        <v>940</v>
      </c>
      <c r="E1612" s="36" t="s">
        <v>264</v>
      </c>
      <c r="F1612" s="36" t="s">
        <v>121</v>
      </c>
      <c r="L1612" s="42">
        <v>-20</v>
      </c>
    </row>
    <row r="1613" spans="2:12" ht="14.4" x14ac:dyDescent="0.3">
      <c r="B1613" s="39">
        <v>45960</v>
      </c>
      <c r="D1613" s="36" t="s">
        <v>940</v>
      </c>
      <c r="E1613" s="36" t="s">
        <v>264</v>
      </c>
      <c r="F1613" s="36" t="s">
        <v>121</v>
      </c>
      <c r="L1613" s="42">
        <v>-20</v>
      </c>
    </row>
    <row r="1614" spans="2:12" ht="14.4" x14ac:dyDescent="0.3">
      <c r="B1614" s="39">
        <v>45960</v>
      </c>
      <c r="D1614" s="36" t="s">
        <v>940</v>
      </c>
      <c r="E1614" s="36" t="s">
        <v>264</v>
      </c>
      <c r="F1614" s="36" t="s">
        <v>121</v>
      </c>
      <c r="L1614" s="42">
        <v>-20</v>
      </c>
    </row>
    <row r="1615" spans="2:12" ht="14.4" x14ac:dyDescent="0.3">
      <c r="B1615" s="39">
        <v>45960</v>
      </c>
      <c r="D1615" s="36" t="s">
        <v>940</v>
      </c>
      <c r="E1615" s="36" t="s">
        <v>264</v>
      </c>
      <c r="F1615" s="36" t="s">
        <v>121</v>
      </c>
      <c r="L1615" s="42">
        <v>-20</v>
      </c>
    </row>
    <row r="1616" spans="2:12" ht="14.4" x14ac:dyDescent="0.3">
      <c r="B1616" s="39">
        <v>45960</v>
      </c>
      <c r="D1616" s="36" t="s">
        <v>940</v>
      </c>
      <c r="E1616" s="36" t="s">
        <v>264</v>
      </c>
      <c r="F1616" s="36" t="s">
        <v>121</v>
      </c>
      <c r="L1616" s="42">
        <v>-20</v>
      </c>
    </row>
    <row r="1617" spans="2:12" ht="14.4" x14ac:dyDescent="0.3">
      <c r="B1617" s="39">
        <v>45960</v>
      </c>
      <c r="D1617" s="36" t="s">
        <v>940</v>
      </c>
      <c r="E1617" s="36" t="s">
        <v>264</v>
      </c>
      <c r="F1617" s="36" t="s">
        <v>121</v>
      </c>
      <c r="L1617" s="42">
        <v>-20</v>
      </c>
    </row>
    <row r="1618" spans="2:12" ht="14.4" x14ac:dyDescent="0.3">
      <c r="B1618" s="39">
        <v>45960</v>
      </c>
      <c r="D1618" s="36" t="s">
        <v>940</v>
      </c>
      <c r="E1618" s="36" t="s">
        <v>264</v>
      </c>
      <c r="F1618" s="36" t="s">
        <v>121</v>
      </c>
      <c r="L1618" s="42">
        <v>-20</v>
      </c>
    </row>
    <row r="1619" spans="2:12" ht="14.4" x14ac:dyDescent="0.3">
      <c r="B1619" s="39">
        <v>45960</v>
      </c>
      <c r="D1619" s="36" t="s">
        <v>940</v>
      </c>
      <c r="E1619" s="36" t="s">
        <v>264</v>
      </c>
      <c r="F1619" s="36" t="s">
        <v>121</v>
      </c>
      <c r="L1619" s="42">
        <v>-20</v>
      </c>
    </row>
    <row r="1620" spans="2:12" ht="14.4" x14ac:dyDescent="0.3">
      <c r="B1620" s="39">
        <v>45960</v>
      </c>
      <c r="D1620" s="36" t="s">
        <v>940</v>
      </c>
      <c r="E1620" s="36" t="s">
        <v>264</v>
      </c>
      <c r="F1620" s="36" t="s">
        <v>121</v>
      </c>
      <c r="L1620" s="42">
        <v>-20</v>
      </c>
    </row>
    <row r="1621" spans="2:12" ht="14.4" x14ac:dyDescent="0.3">
      <c r="B1621" s="39">
        <v>45960</v>
      </c>
      <c r="D1621" s="36" t="s">
        <v>940</v>
      </c>
      <c r="E1621" s="36" t="s">
        <v>264</v>
      </c>
      <c r="F1621" s="36" t="s">
        <v>121</v>
      </c>
      <c r="L1621" s="42">
        <v>-20</v>
      </c>
    </row>
    <row r="1622" spans="2:12" ht="14.4" x14ac:dyDescent="0.3">
      <c r="B1622" s="39">
        <v>45960</v>
      </c>
      <c r="D1622" s="36" t="s">
        <v>940</v>
      </c>
      <c r="E1622" s="36" t="s">
        <v>264</v>
      </c>
      <c r="F1622" s="36" t="s">
        <v>121</v>
      </c>
      <c r="L1622" s="42">
        <v>-20</v>
      </c>
    </row>
    <row r="1623" spans="2:12" ht="14.4" x14ac:dyDescent="0.3">
      <c r="B1623" s="39">
        <v>45960</v>
      </c>
      <c r="D1623" s="36" t="s">
        <v>940</v>
      </c>
      <c r="E1623" s="36" t="s">
        <v>264</v>
      </c>
      <c r="F1623" s="36" t="s">
        <v>121</v>
      </c>
      <c r="L1623" s="42">
        <v>-20</v>
      </c>
    </row>
    <row r="1624" spans="2:12" ht="14.4" x14ac:dyDescent="0.3">
      <c r="B1624" s="39">
        <v>45960</v>
      </c>
      <c r="D1624" s="36" t="s">
        <v>940</v>
      </c>
      <c r="E1624" s="36" t="s">
        <v>264</v>
      </c>
      <c r="F1624" s="36" t="s">
        <v>121</v>
      </c>
      <c r="L1624" s="42">
        <v>-20</v>
      </c>
    </row>
    <row r="1625" spans="2:12" ht="14.4" x14ac:dyDescent="0.3">
      <c r="B1625" s="39">
        <v>45960</v>
      </c>
      <c r="D1625" s="36" t="s">
        <v>194</v>
      </c>
      <c r="E1625" s="36" t="s">
        <v>1127</v>
      </c>
      <c r="F1625" s="36" t="s">
        <v>524</v>
      </c>
      <c r="H1625" s="42">
        <v>1749</v>
      </c>
    </row>
    <row r="1626" spans="2:12" ht="14.4" x14ac:dyDescent="0.3">
      <c r="B1626" s="39">
        <v>45961</v>
      </c>
      <c r="D1626" s="36" t="s">
        <v>355</v>
      </c>
      <c r="E1626" s="36" t="s">
        <v>1123</v>
      </c>
      <c r="F1626" s="36" t="s">
        <v>524</v>
      </c>
      <c r="K1626" s="42">
        <v>4090</v>
      </c>
    </row>
    <row r="1627" spans="2:12" ht="14.4" x14ac:dyDescent="0.3">
      <c r="B1627" s="39">
        <v>45961</v>
      </c>
      <c r="D1627" s="36" t="s">
        <v>355</v>
      </c>
      <c r="E1627" s="36" t="s">
        <v>1040</v>
      </c>
      <c r="F1627" s="36" t="s">
        <v>137</v>
      </c>
      <c r="L1627" s="42">
        <v>-45</v>
      </c>
    </row>
    <row r="1628" spans="2:12" ht="14.4" x14ac:dyDescent="0.3">
      <c r="B1628" s="39">
        <v>45961</v>
      </c>
      <c r="D1628" s="36" t="s">
        <v>940</v>
      </c>
      <c r="E1628" s="36" t="s">
        <v>1041</v>
      </c>
      <c r="F1628" s="36" t="s">
        <v>137</v>
      </c>
      <c r="L1628" s="42">
        <v>-900</v>
      </c>
    </row>
    <row r="1629" spans="2:12" ht="14.4" x14ac:dyDescent="0.3">
      <c r="B1629" s="39">
        <v>45961</v>
      </c>
      <c r="D1629" s="36" t="s">
        <v>940</v>
      </c>
      <c r="E1629" s="36" t="s">
        <v>264</v>
      </c>
      <c r="F1629" s="36" t="s">
        <v>121</v>
      </c>
      <c r="L1629" s="42">
        <v>-20</v>
      </c>
    </row>
    <row r="1630" spans="2:12" ht="14.4" x14ac:dyDescent="0.3">
      <c r="B1630" s="39">
        <v>45962</v>
      </c>
      <c r="D1630" s="36" t="s">
        <v>355</v>
      </c>
      <c r="E1630" s="36" t="s">
        <v>1042</v>
      </c>
      <c r="F1630" s="36" t="s">
        <v>137</v>
      </c>
      <c r="L1630" s="42">
        <v>-60</v>
      </c>
    </row>
    <row r="1631" spans="2:12" ht="14.4" x14ac:dyDescent="0.3">
      <c r="B1631" s="39">
        <v>45962</v>
      </c>
      <c r="D1631" s="36" t="s">
        <v>940</v>
      </c>
      <c r="E1631" s="36" t="s">
        <v>1043</v>
      </c>
      <c r="F1631" s="36" t="s">
        <v>137</v>
      </c>
      <c r="L1631" s="42">
        <v>-900</v>
      </c>
    </row>
    <row r="1632" spans="2:12" ht="14.4" x14ac:dyDescent="0.3">
      <c r="B1632" s="39">
        <v>45962</v>
      </c>
      <c r="D1632" s="36" t="s">
        <v>355</v>
      </c>
      <c r="E1632" s="36" t="s">
        <v>1044</v>
      </c>
      <c r="F1632" s="36" t="s">
        <v>137</v>
      </c>
      <c r="L1632" s="42">
        <v>-60</v>
      </c>
    </row>
    <row r="1633" spans="2:12" ht="14.4" x14ac:dyDescent="0.3">
      <c r="B1633" s="39">
        <v>45962</v>
      </c>
      <c r="D1633" s="36" t="s">
        <v>355</v>
      </c>
      <c r="E1633" s="36" t="s">
        <v>1045</v>
      </c>
      <c r="F1633" s="36" t="s">
        <v>137</v>
      </c>
      <c r="L1633" s="42">
        <v>-60</v>
      </c>
    </row>
    <row r="1634" spans="2:12" ht="14.4" x14ac:dyDescent="0.3">
      <c r="B1634" s="39">
        <v>45962</v>
      </c>
      <c r="D1634" s="36" t="s">
        <v>57</v>
      </c>
      <c r="E1634" s="36" t="s">
        <v>944</v>
      </c>
      <c r="F1634" s="36" t="s">
        <v>262</v>
      </c>
      <c r="L1634" s="42">
        <v>-12</v>
      </c>
    </row>
    <row r="1635" spans="2:12" ht="14.4" x14ac:dyDescent="0.3">
      <c r="B1635" s="39">
        <v>45963</v>
      </c>
      <c r="D1635" s="36" t="s">
        <v>940</v>
      </c>
      <c r="E1635" s="36" t="s">
        <v>1046</v>
      </c>
      <c r="F1635" s="36" t="s">
        <v>137</v>
      </c>
      <c r="L1635" s="42">
        <v>-900</v>
      </c>
    </row>
    <row r="1636" spans="2:12" ht="14.4" x14ac:dyDescent="0.3">
      <c r="B1636" s="39">
        <v>45963</v>
      </c>
      <c r="D1636" s="36" t="s">
        <v>940</v>
      </c>
      <c r="E1636" s="36" t="s">
        <v>1047</v>
      </c>
      <c r="F1636" s="36" t="s">
        <v>137</v>
      </c>
      <c r="L1636" s="42">
        <v>-900</v>
      </c>
    </row>
    <row r="1637" spans="2:12" ht="14.4" x14ac:dyDescent="0.3">
      <c r="B1637" s="39">
        <v>45963</v>
      </c>
      <c r="D1637" s="36" t="s">
        <v>355</v>
      </c>
      <c r="E1637" s="36" t="s">
        <v>1048</v>
      </c>
      <c r="F1637" s="36" t="s">
        <v>137</v>
      </c>
      <c r="L1637" s="42">
        <v>-60</v>
      </c>
    </row>
    <row r="1638" spans="2:12" ht="14.4" x14ac:dyDescent="0.3">
      <c r="B1638" s="39">
        <v>45963</v>
      </c>
      <c r="D1638" s="36" t="s">
        <v>355</v>
      </c>
      <c r="E1638" s="36" t="s">
        <v>1049</v>
      </c>
      <c r="F1638" s="36" t="s">
        <v>137</v>
      </c>
      <c r="L1638" s="42">
        <v>-60</v>
      </c>
    </row>
    <row r="1639" spans="2:12" ht="14.4" x14ac:dyDescent="0.3">
      <c r="B1639" s="39">
        <v>45963</v>
      </c>
      <c r="D1639" s="36" t="s">
        <v>355</v>
      </c>
      <c r="E1639" s="36" t="s">
        <v>1050</v>
      </c>
      <c r="F1639" s="36" t="s">
        <v>137</v>
      </c>
      <c r="L1639" s="42">
        <v>-49</v>
      </c>
    </row>
    <row r="1640" spans="2:12" ht="14.4" x14ac:dyDescent="0.3">
      <c r="B1640" s="39">
        <v>45963</v>
      </c>
      <c r="D1640" s="36" t="s">
        <v>355</v>
      </c>
      <c r="E1640" s="36" t="s">
        <v>1051</v>
      </c>
      <c r="F1640" s="36" t="s">
        <v>137</v>
      </c>
      <c r="L1640" s="42">
        <v>-100</v>
      </c>
    </row>
    <row r="1641" spans="2:12" ht="14.4" x14ac:dyDescent="0.3">
      <c r="B1641" s="39">
        <v>45963</v>
      </c>
      <c r="D1641" s="36" t="s">
        <v>940</v>
      </c>
      <c r="E1641" s="36" t="s">
        <v>264</v>
      </c>
      <c r="F1641" s="36" t="s">
        <v>121</v>
      </c>
      <c r="L1641" s="42">
        <v>-20</v>
      </c>
    </row>
    <row r="1642" spans="2:12" ht="14.4" x14ac:dyDescent="0.3">
      <c r="B1642" s="39">
        <v>45963</v>
      </c>
      <c r="D1642" s="36" t="s">
        <v>940</v>
      </c>
      <c r="E1642" s="36" t="s">
        <v>264</v>
      </c>
      <c r="F1642" s="36" t="s">
        <v>121</v>
      </c>
      <c r="L1642" s="42">
        <v>-20</v>
      </c>
    </row>
    <row r="1643" spans="2:12" ht="14.4" x14ac:dyDescent="0.3">
      <c r="B1643" s="39">
        <v>45963</v>
      </c>
      <c r="D1643" s="36" t="s">
        <v>940</v>
      </c>
      <c r="E1643" s="36" t="s">
        <v>264</v>
      </c>
      <c r="F1643" s="36" t="s">
        <v>121</v>
      </c>
      <c r="L1643" s="42">
        <v>-20</v>
      </c>
    </row>
    <row r="1644" spans="2:12" ht="14.4" x14ac:dyDescent="0.3">
      <c r="B1644" s="39">
        <v>45963</v>
      </c>
      <c r="D1644" s="36" t="s">
        <v>940</v>
      </c>
      <c r="E1644" s="36" t="s">
        <v>264</v>
      </c>
      <c r="F1644" s="36" t="s">
        <v>121</v>
      </c>
      <c r="L1644" s="42">
        <v>-20</v>
      </c>
    </row>
    <row r="1645" spans="2:12" ht="14.4" x14ac:dyDescent="0.3">
      <c r="B1645" s="39">
        <v>45963</v>
      </c>
      <c r="D1645" s="36" t="s">
        <v>940</v>
      </c>
      <c r="E1645" s="36" t="s">
        <v>264</v>
      </c>
      <c r="F1645" s="36" t="s">
        <v>121</v>
      </c>
      <c r="L1645" s="42">
        <v>-20</v>
      </c>
    </row>
    <row r="1646" spans="2:12" ht="14.4" x14ac:dyDescent="0.3">
      <c r="B1646" s="39">
        <v>45963</v>
      </c>
      <c r="D1646" s="36" t="s">
        <v>940</v>
      </c>
      <c r="E1646" s="36" t="s">
        <v>264</v>
      </c>
      <c r="F1646" s="36" t="s">
        <v>121</v>
      </c>
      <c r="L1646" s="42">
        <v>-20</v>
      </c>
    </row>
    <row r="1647" spans="2:12" ht="14.4" x14ac:dyDescent="0.3">
      <c r="B1647" s="39">
        <v>45963</v>
      </c>
      <c r="D1647" s="36" t="s">
        <v>57</v>
      </c>
      <c r="E1647" s="36" t="s">
        <v>1057</v>
      </c>
      <c r="F1647" s="36" t="s">
        <v>780</v>
      </c>
      <c r="L1647" s="42">
        <v>-30</v>
      </c>
    </row>
    <row r="1648" spans="2:12" ht="14.4" x14ac:dyDescent="0.3">
      <c r="B1648" s="39">
        <v>45964</v>
      </c>
      <c r="D1648" s="36" t="s">
        <v>355</v>
      </c>
      <c r="E1648" s="36" t="s">
        <v>1052</v>
      </c>
      <c r="F1648" s="36" t="s">
        <v>137</v>
      </c>
      <c r="L1648" s="42">
        <v>-5.22</v>
      </c>
    </row>
    <row r="1649" spans="2:12" ht="14.4" x14ac:dyDescent="0.3">
      <c r="B1649" s="39">
        <v>45964</v>
      </c>
      <c r="D1649" s="36" t="s">
        <v>57</v>
      </c>
      <c r="E1649" s="36" t="s">
        <v>1053</v>
      </c>
      <c r="F1649" s="36" t="s">
        <v>330</v>
      </c>
      <c r="L1649" s="42">
        <v>-3500</v>
      </c>
    </row>
    <row r="1650" spans="2:12" ht="14.4" x14ac:dyDescent="0.3">
      <c r="B1650" s="39">
        <v>45964</v>
      </c>
      <c r="D1650" s="36" t="s">
        <v>940</v>
      </c>
      <c r="E1650" s="36" t="s">
        <v>264</v>
      </c>
      <c r="F1650" s="36" t="s">
        <v>121</v>
      </c>
      <c r="L1650" s="42">
        <v>-20</v>
      </c>
    </row>
    <row r="1651" spans="2:12" ht="14.4" x14ac:dyDescent="0.3">
      <c r="B1651" s="39">
        <v>45964</v>
      </c>
      <c r="D1651" s="36" t="s">
        <v>355</v>
      </c>
      <c r="E1651" s="36" t="s">
        <v>1054</v>
      </c>
      <c r="F1651" s="36" t="s">
        <v>137</v>
      </c>
      <c r="L1651" s="42">
        <v>-100</v>
      </c>
    </row>
    <row r="1652" spans="2:12" ht="14.4" x14ac:dyDescent="0.3">
      <c r="B1652" s="39">
        <v>45964</v>
      </c>
      <c r="D1652" s="36" t="s">
        <v>355</v>
      </c>
      <c r="E1652" s="36" t="s">
        <v>1055</v>
      </c>
      <c r="F1652" s="36" t="s">
        <v>137</v>
      </c>
      <c r="L1652" s="42">
        <v>-60</v>
      </c>
    </row>
    <row r="1653" spans="2:12" ht="14.4" x14ac:dyDescent="0.3">
      <c r="B1653" s="39">
        <v>45964</v>
      </c>
      <c r="D1653" s="36" t="s">
        <v>940</v>
      </c>
      <c r="E1653" s="36" t="s">
        <v>1056</v>
      </c>
      <c r="F1653" s="36" t="s">
        <v>781</v>
      </c>
      <c r="L1653" s="42">
        <v>-100</v>
      </c>
    </row>
    <row r="1654" spans="2:12" ht="14.4" x14ac:dyDescent="0.3">
      <c r="B1654" s="39">
        <v>45964</v>
      </c>
      <c r="D1654" s="36" t="s">
        <v>564</v>
      </c>
      <c r="E1654" s="36" t="s">
        <v>1059</v>
      </c>
      <c r="F1654" s="36" t="s">
        <v>980</v>
      </c>
      <c r="L1654" s="42">
        <v>-14851</v>
      </c>
    </row>
    <row r="1655" spans="2:12" ht="14.4" x14ac:dyDescent="0.3">
      <c r="B1655" s="39">
        <v>45964</v>
      </c>
      <c r="D1655" s="36" t="s">
        <v>564</v>
      </c>
      <c r="E1655" s="36" t="s">
        <v>1060</v>
      </c>
      <c r="F1655" s="36" t="s">
        <v>980</v>
      </c>
      <c r="L1655" s="42">
        <v>-14851</v>
      </c>
    </row>
    <row r="1656" spans="2:12" ht="14.4" x14ac:dyDescent="0.3">
      <c r="B1656" s="39">
        <v>45964</v>
      </c>
      <c r="D1656" s="36" t="s">
        <v>564</v>
      </c>
      <c r="E1656" s="36" t="s">
        <v>1061</v>
      </c>
      <c r="F1656" s="36" t="s">
        <v>980</v>
      </c>
      <c r="H1656" s="42">
        <v>-14851</v>
      </c>
    </row>
    <row r="1657" spans="2:12" ht="14.4" x14ac:dyDescent="0.3">
      <c r="B1657" s="39">
        <v>45964</v>
      </c>
      <c r="D1657" s="36" t="s">
        <v>57</v>
      </c>
      <c r="E1657" s="36" t="s">
        <v>1062</v>
      </c>
      <c r="F1657" s="36" t="s">
        <v>330</v>
      </c>
      <c r="L1657" s="42">
        <v>-70</v>
      </c>
    </row>
    <row r="1658" spans="2:12" ht="14.4" x14ac:dyDescent="0.3">
      <c r="B1658" s="39">
        <v>45964</v>
      </c>
      <c r="D1658" s="36" t="s">
        <v>57</v>
      </c>
      <c r="E1658" s="36" t="s">
        <v>482</v>
      </c>
      <c r="F1658" s="36" t="s">
        <v>517</v>
      </c>
      <c r="L1658" s="42">
        <v>-20</v>
      </c>
    </row>
    <row r="1659" spans="2:12" ht="14.4" x14ac:dyDescent="0.3">
      <c r="B1659" s="39">
        <v>45964</v>
      </c>
      <c r="D1659" s="36" t="s">
        <v>940</v>
      </c>
      <c r="E1659" s="36" t="s">
        <v>1063</v>
      </c>
      <c r="F1659" s="36" t="s">
        <v>137</v>
      </c>
      <c r="L1659" s="42">
        <v>-680.41</v>
      </c>
    </row>
    <row r="1660" spans="2:12" ht="14.4" x14ac:dyDescent="0.3">
      <c r="B1660" s="39">
        <v>45965</v>
      </c>
      <c r="D1660" s="36" t="s">
        <v>355</v>
      </c>
      <c r="E1660" s="36" t="s">
        <v>1066</v>
      </c>
      <c r="F1660" s="36" t="s">
        <v>137</v>
      </c>
      <c r="L1660" s="42">
        <v>-54</v>
      </c>
    </row>
    <row r="1661" spans="2:12" ht="14.4" x14ac:dyDescent="0.3">
      <c r="B1661" s="39">
        <v>45965</v>
      </c>
      <c r="D1661" s="36" t="s">
        <v>355</v>
      </c>
      <c r="E1661" s="36" t="s">
        <v>1065</v>
      </c>
      <c r="F1661" s="36" t="s">
        <v>137</v>
      </c>
      <c r="L1661" s="42">
        <v>-60</v>
      </c>
    </row>
    <row r="1662" spans="2:12" ht="14.4" x14ac:dyDescent="0.3">
      <c r="B1662" s="39">
        <v>45965</v>
      </c>
      <c r="D1662" s="36" t="s">
        <v>355</v>
      </c>
      <c r="E1662" s="36" t="s">
        <v>1064</v>
      </c>
      <c r="F1662" s="36" t="s">
        <v>137</v>
      </c>
      <c r="L1662" s="42">
        <v>-100</v>
      </c>
    </row>
    <row r="1663" spans="2:12" ht="14.4" x14ac:dyDescent="0.3">
      <c r="B1663" s="39">
        <v>45966</v>
      </c>
      <c r="D1663" s="36" t="s">
        <v>940</v>
      </c>
      <c r="E1663" s="36" t="s">
        <v>768</v>
      </c>
      <c r="F1663" s="36" t="s">
        <v>70</v>
      </c>
      <c r="L1663" s="42">
        <v>-14.68</v>
      </c>
    </row>
    <row r="1664" spans="2:12" ht="14.4" x14ac:dyDescent="0.3">
      <c r="B1664" s="39">
        <v>45966</v>
      </c>
      <c r="D1664" s="36" t="s">
        <v>57</v>
      </c>
      <c r="E1664" s="36" t="s">
        <v>1109</v>
      </c>
      <c r="F1664" s="36" t="s">
        <v>70</v>
      </c>
      <c r="L1664" s="42">
        <v>-11.26</v>
      </c>
    </row>
    <row r="1665" spans="2:12" ht="14.4" x14ac:dyDescent="0.3">
      <c r="B1665" s="39">
        <v>45967</v>
      </c>
      <c r="D1665" s="36" t="s">
        <v>355</v>
      </c>
      <c r="E1665" s="36" t="s">
        <v>1070</v>
      </c>
      <c r="F1665" s="36" t="s">
        <v>137</v>
      </c>
      <c r="L1665" s="42">
        <v>-25.7</v>
      </c>
    </row>
    <row r="1666" spans="2:12" ht="14.4" x14ac:dyDescent="0.3">
      <c r="B1666" s="39">
        <v>45967</v>
      </c>
      <c r="D1666" s="36" t="s">
        <v>355</v>
      </c>
      <c r="E1666" s="36" t="s">
        <v>1068</v>
      </c>
      <c r="F1666" s="36" t="s">
        <v>137</v>
      </c>
      <c r="L1666" s="42">
        <v>-60</v>
      </c>
    </row>
    <row r="1667" spans="2:12" ht="14.4" x14ac:dyDescent="0.3">
      <c r="B1667" s="39">
        <v>45967</v>
      </c>
      <c r="D1667" s="36" t="s">
        <v>355</v>
      </c>
      <c r="E1667" s="36" t="s">
        <v>1069</v>
      </c>
      <c r="F1667" s="36" t="s">
        <v>137</v>
      </c>
      <c r="L1667" s="42">
        <v>-60</v>
      </c>
    </row>
    <row r="1668" spans="2:12" ht="14.4" x14ac:dyDescent="0.3">
      <c r="B1668" s="39">
        <v>45967</v>
      </c>
      <c r="D1668" s="36" t="s">
        <v>57</v>
      </c>
      <c r="E1668" s="36" t="s">
        <v>1110</v>
      </c>
      <c r="F1668" s="36" t="s">
        <v>781</v>
      </c>
      <c r="L1668" s="42">
        <v>-99</v>
      </c>
    </row>
    <row r="1669" spans="2:12" ht="14.4" x14ac:dyDescent="0.3">
      <c r="B1669" s="39">
        <v>45967</v>
      </c>
      <c r="D1669" s="36" t="s">
        <v>355</v>
      </c>
      <c r="E1669" s="36" t="s">
        <v>1067</v>
      </c>
      <c r="F1669" s="36" t="s">
        <v>137</v>
      </c>
      <c r="L1669" s="42">
        <v>-100</v>
      </c>
    </row>
    <row r="1670" spans="2:12" ht="14.4" x14ac:dyDescent="0.3">
      <c r="B1670" s="39">
        <v>45968</v>
      </c>
      <c r="D1670" s="36" t="s">
        <v>57</v>
      </c>
      <c r="E1670" s="36" t="s">
        <v>1111</v>
      </c>
      <c r="F1670" s="36" t="s">
        <v>1115</v>
      </c>
      <c r="L1670" s="42">
        <v>-3997</v>
      </c>
    </row>
    <row r="1671" spans="2:12" ht="14.4" x14ac:dyDescent="0.3">
      <c r="B1671" s="39">
        <v>45968</v>
      </c>
      <c r="D1671" s="36" t="s">
        <v>940</v>
      </c>
      <c r="E1671" s="36" t="s">
        <v>264</v>
      </c>
      <c r="F1671" s="36" t="s">
        <v>121</v>
      </c>
      <c r="L1671" s="42">
        <v>-419.51</v>
      </c>
    </row>
    <row r="1672" spans="2:12" ht="14.4" x14ac:dyDescent="0.3">
      <c r="B1672" s="39">
        <v>45969</v>
      </c>
      <c r="D1672" s="36" t="s">
        <v>355</v>
      </c>
      <c r="E1672" s="36" t="s">
        <v>1071</v>
      </c>
      <c r="F1672" s="36" t="s">
        <v>137</v>
      </c>
      <c r="L1672" s="42">
        <v>-60</v>
      </c>
    </row>
    <row r="1673" spans="2:12" ht="14.4" x14ac:dyDescent="0.3">
      <c r="B1673" s="39">
        <v>45969</v>
      </c>
      <c r="D1673" s="36" t="s">
        <v>355</v>
      </c>
      <c r="E1673" s="36" t="s">
        <v>1072</v>
      </c>
      <c r="F1673" s="36" t="s">
        <v>137</v>
      </c>
      <c r="L1673" s="42">
        <v>-60</v>
      </c>
    </row>
    <row r="1674" spans="2:12" ht="14.4" x14ac:dyDescent="0.3">
      <c r="B1674" s="39">
        <v>45969</v>
      </c>
      <c r="D1674" s="36" t="s">
        <v>355</v>
      </c>
      <c r="E1674" s="36" t="s">
        <v>1073</v>
      </c>
      <c r="F1674" s="36" t="s">
        <v>137</v>
      </c>
      <c r="L1674" s="42">
        <v>-60</v>
      </c>
    </row>
    <row r="1675" spans="2:12" ht="14.4" x14ac:dyDescent="0.3">
      <c r="B1675" s="39">
        <v>45969</v>
      </c>
      <c r="D1675" s="36" t="s">
        <v>940</v>
      </c>
      <c r="E1675" s="36" t="s">
        <v>772</v>
      </c>
      <c r="F1675" s="36" t="s">
        <v>70</v>
      </c>
      <c r="L1675" s="42">
        <v>-15.74</v>
      </c>
    </row>
    <row r="1676" spans="2:12" ht="14.4" x14ac:dyDescent="0.3">
      <c r="B1676" s="39">
        <v>45969</v>
      </c>
      <c r="D1676" s="36" t="s">
        <v>57</v>
      </c>
      <c r="E1676" s="36" t="s">
        <v>947</v>
      </c>
      <c r="F1676" s="36" t="s">
        <v>952</v>
      </c>
      <c r="L1676" s="42">
        <v>-16.600000000000001</v>
      </c>
    </row>
    <row r="1677" spans="2:12" ht="14.4" x14ac:dyDescent="0.3">
      <c r="B1677" s="39">
        <v>45970</v>
      </c>
      <c r="D1677" s="36" t="s">
        <v>355</v>
      </c>
      <c r="E1677" s="36" t="s">
        <v>1074</v>
      </c>
      <c r="F1677" s="36" t="s">
        <v>137</v>
      </c>
      <c r="L1677" s="42">
        <v>-60</v>
      </c>
    </row>
    <row r="1678" spans="2:12" ht="14.4" x14ac:dyDescent="0.3">
      <c r="B1678" s="39">
        <v>45970</v>
      </c>
      <c r="D1678" s="36" t="s">
        <v>57</v>
      </c>
      <c r="E1678" s="36" t="s">
        <v>992</v>
      </c>
      <c r="F1678" s="36" t="s">
        <v>115</v>
      </c>
      <c r="L1678" s="42">
        <v>-50</v>
      </c>
    </row>
    <row r="1679" spans="2:12" ht="14.4" x14ac:dyDescent="0.3">
      <c r="B1679" s="39">
        <v>45970</v>
      </c>
      <c r="D1679" s="36" t="s">
        <v>940</v>
      </c>
      <c r="E1679" s="36" t="s">
        <v>772</v>
      </c>
      <c r="F1679" s="36" t="s">
        <v>70</v>
      </c>
      <c r="L1679" s="42">
        <v>-65.489999999999995</v>
      </c>
    </row>
    <row r="1680" spans="2:12" ht="14.4" x14ac:dyDescent="0.3">
      <c r="B1680" s="39">
        <v>45971</v>
      </c>
      <c r="D1680" s="36" t="s">
        <v>355</v>
      </c>
      <c r="E1680" s="36" t="s">
        <v>1075</v>
      </c>
      <c r="F1680" s="36" t="s">
        <v>137</v>
      </c>
      <c r="L1680" s="42">
        <v>-60</v>
      </c>
    </row>
    <row r="1681" spans="2:12" ht="14.4" x14ac:dyDescent="0.3">
      <c r="B1681" s="39">
        <v>45971</v>
      </c>
      <c r="D1681" s="36" t="s">
        <v>355</v>
      </c>
      <c r="E1681" s="36" t="s">
        <v>1076</v>
      </c>
      <c r="F1681" s="36" t="s">
        <v>137</v>
      </c>
      <c r="L1681" s="42">
        <v>-100</v>
      </c>
    </row>
    <row r="1682" spans="2:12" ht="14.4" x14ac:dyDescent="0.3">
      <c r="B1682" s="39">
        <v>45972</v>
      </c>
      <c r="D1682" s="36" t="s">
        <v>355</v>
      </c>
      <c r="E1682" s="36" t="s">
        <v>1077</v>
      </c>
      <c r="F1682" s="36" t="s">
        <v>137</v>
      </c>
      <c r="L1682" s="42">
        <v>-60</v>
      </c>
    </row>
    <row r="1683" spans="2:12" ht="14.4" x14ac:dyDescent="0.3">
      <c r="B1683" s="39">
        <v>45973</v>
      </c>
      <c r="D1683" s="36" t="s">
        <v>355</v>
      </c>
      <c r="E1683" s="36" t="s">
        <v>1078</v>
      </c>
      <c r="F1683" s="36" t="s">
        <v>137</v>
      </c>
      <c r="L1683" s="42">
        <v>-60</v>
      </c>
    </row>
    <row r="1684" spans="2:12" ht="14.4" x14ac:dyDescent="0.3">
      <c r="B1684" s="39">
        <v>45973</v>
      </c>
      <c r="D1684" s="36" t="s">
        <v>355</v>
      </c>
      <c r="E1684" s="36" t="s">
        <v>1079</v>
      </c>
      <c r="F1684" s="36" t="s">
        <v>137</v>
      </c>
      <c r="L1684" s="42">
        <v>-60</v>
      </c>
    </row>
    <row r="1685" spans="2:12" ht="14.4" x14ac:dyDescent="0.3">
      <c r="B1685" s="39">
        <v>45973</v>
      </c>
      <c r="D1685" s="36" t="s">
        <v>355</v>
      </c>
      <c r="E1685" s="36" t="s">
        <v>1080</v>
      </c>
      <c r="F1685" s="36" t="s">
        <v>137</v>
      </c>
      <c r="L1685" s="42">
        <v>-648.46</v>
      </c>
    </row>
    <row r="1686" spans="2:12" ht="14.4" x14ac:dyDescent="0.3">
      <c r="B1686" s="39">
        <v>45974</v>
      </c>
      <c r="D1686" s="36" t="s">
        <v>355</v>
      </c>
      <c r="E1686" s="36" t="s">
        <v>1082</v>
      </c>
      <c r="F1686" s="36" t="s">
        <v>137</v>
      </c>
      <c r="L1686" s="42">
        <v>-59</v>
      </c>
    </row>
    <row r="1687" spans="2:12" ht="14.4" x14ac:dyDescent="0.3">
      <c r="B1687" s="39">
        <v>45974</v>
      </c>
      <c r="D1687" s="36" t="s">
        <v>355</v>
      </c>
      <c r="E1687" s="36" t="s">
        <v>1081</v>
      </c>
      <c r="F1687" s="36" t="s">
        <v>137</v>
      </c>
      <c r="L1687" s="42">
        <v>-60</v>
      </c>
    </row>
    <row r="1688" spans="2:12" ht="14.4" x14ac:dyDescent="0.3">
      <c r="B1688" s="39">
        <v>45975</v>
      </c>
      <c r="D1688" s="36" t="s">
        <v>110</v>
      </c>
      <c r="E1688" s="36" t="s">
        <v>311</v>
      </c>
      <c r="F1688" s="36" t="s">
        <v>310</v>
      </c>
      <c r="K1688" s="42">
        <f>-L1688</f>
        <v>-6997</v>
      </c>
      <c r="L1688" s="42">
        <v>6997</v>
      </c>
    </row>
    <row r="1689" spans="2:12" ht="14.4" x14ac:dyDescent="0.3">
      <c r="B1689" s="39">
        <v>45976</v>
      </c>
      <c r="D1689" s="36" t="s">
        <v>355</v>
      </c>
      <c r="E1689" s="36" t="s">
        <v>1083</v>
      </c>
      <c r="F1689" s="36" t="s">
        <v>137</v>
      </c>
      <c r="L1689" s="42">
        <v>-60</v>
      </c>
    </row>
    <row r="1690" spans="2:12" ht="14.4" x14ac:dyDescent="0.3">
      <c r="B1690" s="39">
        <v>45976</v>
      </c>
      <c r="D1690" s="36" t="s">
        <v>355</v>
      </c>
      <c r="E1690" s="36" t="s">
        <v>1085</v>
      </c>
      <c r="F1690" s="36" t="s">
        <v>137</v>
      </c>
      <c r="L1690" s="42">
        <v>-60</v>
      </c>
    </row>
    <row r="1691" spans="2:12" ht="14.4" x14ac:dyDescent="0.3">
      <c r="B1691" s="39">
        <v>45976</v>
      </c>
      <c r="D1691" s="36" t="s">
        <v>1118</v>
      </c>
      <c r="E1691" s="36" t="s">
        <v>1084</v>
      </c>
      <c r="F1691" s="36" t="s">
        <v>137</v>
      </c>
      <c r="L1691" s="42">
        <v>-603.39</v>
      </c>
    </row>
    <row r="1692" spans="2:12" ht="14.4" x14ac:dyDescent="0.3">
      <c r="B1692" s="39">
        <v>45977</v>
      </c>
      <c r="D1692" s="36" t="s">
        <v>355</v>
      </c>
      <c r="E1692" s="36" t="s">
        <v>1086</v>
      </c>
      <c r="F1692" s="36" t="s">
        <v>137</v>
      </c>
      <c r="L1692" s="42">
        <v>-60</v>
      </c>
    </row>
    <row r="1693" spans="2:12" ht="14.4" x14ac:dyDescent="0.3">
      <c r="B1693" s="39">
        <v>45977</v>
      </c>
      <c r="D1693" s="36" t="s">
        <v>355</v>
      </c>
      <c r="E1693" s="36" t="s">
        <v>1087</v>
      </c>
      <c r="F1693" s="36" t="s">
        <v>137</v>
      </c>
      <c r="L1693" s="42">
        <v>-60</v>
      </c>
    </row>
    <row r="1694" spans="2:12" ht="14.4" x14ac:dyDescent="0.3">
      <c r="B1694" s="39">
        <v>45978</v>
      </c>
      <c r="D1694" s="36" t="s">
        <v>110</v>
      </c>
      <c r="E1694" s="36" t="s">
        <v>311</v>
      </c>
      <c r="F1694" s="36" t="s">
        <v>310</v>
      </c>
      <c r="K1694" s="42">
        <f>-L1694</f>
        <v>-19997</v>
      </c>
      <c r="L1694" s="42">
        <v>19997</v>
      </c>
    </row>
    <row r="1695" spans="2:12" ht="14.4" x14ac:dyDescent="0.3">
      <c r="B1695" s="39">
        <v>45978</v>
      </c>
      <c r="D1695" s="36" t="s">
        <v>355</v>
      </c>
      <c r="E1695" s="36" t="s">
        <v>1088</v>
      </c>
      <c r="F1695" s="36" t="s">
        <v>137</v>
      </c>
      <c r="L1695" s="42">
        <v>-7.31</v>
      </c>
    </row>
    <row r="1696" spans="2:12" ht="14.4" x14ac:dyDescent="0.3">
      <c r="B1696" s="39">
        <v>45979</v>
      </c>
      <c r="D1696" s="36" t="s">
        <v>110</v>
      </c>
      <c r="E1696" s="36" t="s">
        <v>311</v>
      </c>
      <c r="F1696" s="36" t="s">
        <v>310</v>
      </c>
      <c r="K1696" s="42">
        <f>-L1696</f>
        <v>-17997</v>
      </c>
      <c r="L1696" s="42">
        <v>17997</v>
      </c>
    </row>
    <row r="1697" spans="2:12" ht="14.4" x14ac:dyDescent="0.3">
      <c r="B1697" s="39">
        <v>45979</v>
      </c>
      <c r="D1697" s="36" t="s">
        <v>355</v>
      </c>
      <c r="E1697" s="36" t="s">
        <v>1089</v>
      </c>
      <c r="F1697" s="36" t="s">
        <v>137</v>
      </c>
      <c r="L1697" s="42">
        <v>-60</v>
      </c>
    </row>
    <row r="1698" spans="2:12" ht="14.4" x14ac:dyDescent="0.3">
      <c r="B1698" s="39">
        <v>45980</v>
      </c>
      <c r="D1698" s="36" t="s">
        <v>355</v>
      </c>
      <c r="E1698" s="36" t="s">
        <v>1090</v>
      </c>
      <c r="F1698" s="36" t="s">
        <v>137</v>
      </c>
      <c r="L1698" s="42">
        <v>-60</v>
      </c>
    </row>
    <row r="1699" spans="2:12" ht="14.4" x14ac:dyDescent="0.3">
      <c r="B1699" s="39">
        <v>45980</v>
      </c>
      <c r="D1699" s="36" t="s">
        <v>1118</v>
      </c>
      <c r="E1699" s="36" t="s">
        <v>1091</v>
      </c>
      <c r="F1699" s="36" t="s">
        <v>137</v>
      </c>
      <c r="L1699" s="42">
        <v>-900</v>
      </c>
    </row>
    <row r="1700" spans="2:12" ht="14.4" x14ac:dyDescent="0.3">
      <c r="B1700" s="39">
        <v>45981</v>
      </c>
      <c r="D1700" s="36" t="s">
        <v>110</v>
      </c>
      <c r="E1700" s="36" t="s">
        <v>311</v>
      </c>
      <c r="F1700" s="36" t="s">
        <v>310</v>
      </c>
      <c r="K1700" s="42">
        <f>-L1700</f>
        <v>-9758.26</v>
      </c>
      <c r="L1700" s="42">
        <v>9758.26</v>
      </c>
    </row>
    <row r="1701" spans="2:12" ht="14.4" x14ac:dyDescent="0.3">
      <c r="B1701" s="39">
        <v>45981</v>
      </c>
      <c r="D1701" s="36" t="s">
        <v>355</v>
      </c>
      <c r="E1701" s="36" t="s">
        <v>1092</v>
      </c>
      <c r="F1701" s="36" t="s">
        <v>137</v>
      </c>
      <c r="L1701" s="42">
        <v>-60</v>
      </c>
    </row>
    <row r="1702" spans="2:12" ht="14.4" x14ac:dyDescent="0.3">
      <c r="B1702" s="39">
        <v>45981</v>
      </c>
      <c r="D1702" s="36" t="s">
        <v>355</v>
      </c>
      <c r="E1702" s="36" t="s">
        <v>1093</v>
      </c>
      <c r="F1702" s="36" t="s">
        <v>137</v>
      </c>
      <c r="L1702" s="42">
        <v>-60</v>
      </c>
    </row>
    <row r="1703" spans="2:12" ht="14.4" x14ac:dyDescent="0.3">
      <c r="B1703" s="39">
        <v>45982</v>
      </c>
      <c r="D1703" s="36" t="s">
        <v>57</v>
      </c>
      <c r="E1703" s="36" t="s">
        <v>1112</v>
      </c>
      <c r="F1703" s="36" t="s">
        <v>1116</v>
      </c>
      <c r="L1703" s="42">
        <v>-590</v>
      </c>
    </row>
    <row r="1704" spans="2:12" ht="14.4" x14ac:dyDescent="0.3">
      <c r="B1704" s="39">
        <v>45982</v>
      </c>
      <c r="D1704" s="36" t="s">
        <v>355</v>
      </c>
      <c r="E1704" s="36" t="s">
        <v>1094</v>
      </c>
      <c r="F1704" s="36" t="s">
        <v>137</v>
      </c>
      <c r="L1704" s="42">
        <v>-60</v>
      </c>
    </row>
    <row r="1705" spans="2:12" ht="14.4" x14ac:dyDescent="0.3">
      <c r="B1705" s="39">
        <v>45983</v>
      </c>
      <c r="D1705" s="36" t="s">
        <v>355</v>
      </c>
      <c r="E1705" s="36" t="s">
        <v>1095</v>
      </c>
      <c r="F1705" s="36" t="s">
        <v>137</v>
      </c>
      <c r="L1705" s="42">
        <v>-60</v>
      </c>
    </row>
    <row r="1706" spans="2:12" ht="14.4" x14ac:dyDescent="0.3">
      <c r="B1706" s="39">
        <v>45983</v>
      </c>
      <c r="D1706" s="36" t="s">
        <v>355</v>
      </c>
      <c r="E1706" s="36" t="s">
        <v>1096</v>
      </c>
      <c r="F1706" s="36" t="s">
        <v>137</v>
      </c>
      <c r="L1706" s="42">
        <v>-60</v>
      </c>
    </row>
    <row r="1707" spans="2:12" ht="14.4" x14ac:dyDescent="0.3">
      <c r="B1707" s="39">
        <v>45983</v>
      </c>
      <c r="D1707" s="36" t="s">
        <v>355</v>
      </c>
      <c r="E1707" s="36" t="s">
        <v>1097</v>
      </c>
      <c r="F1707" s="36" t="s">
        <v>137</v>
      </c>
      <c r="L1707" s="42">
        <v>-60</v>
      </c>
    </row>
    <row r="1708" spans="2:12" ht="14.4" x14ac:dyDescent="0.3">
      <c r="B1708" s="39">
        <v>45983</v>
      </c>
      <c r="D1708" s="36" t="s">
        <v>355</v>
      </c>
      <c r="E1708" s="36" t="s">
        <v>1098</v>
      </c>
      <c r="F1708" s="36" t="s">
        <v>137</v>
      </c>
      <c r="L1708" s="42">
        <v>-60</v>
      </c>
    </row>
    <row r="1709" spans="2:12" ht="14.4" x14ac:dyDescent="0.3">
      <c r="B1709" s="39">
        <v>45983</v>
      </c>
      <c r="D1709" s="36" t="s">
        <v>355</v>
      </c>
      <c r="E1709" s="36" t="s">
        <v>1099</v>
      </c>
      <c r="F1709" s="36" t="s">
        <v>137</v>
      </c>
      <c r="L1709" s="42">
        <v>-60</v>
      </c>
    </row>
    <row r="1710" spans="2:12" ht="14.4" x14ac:dyDescent="0.3">
      <c r="B1710" s="39">
        <v>45983</v>
      </c>
      <c r="D1710" s="36" t="s">
        <v>355</v>
      </c>
      <c r="E1710" s="36" t="s">
        <v>1100</v>
      </c>
      <c r="F1710" s="36" t="s">
        <v>137</v>
      </c>
      <c r="L1710" s="42">
        <v>-60</v>
      </c>
    </row>
    <row r="1711" spans="2:12" ht="14.4" x14ac:dyDescent="0.3">
      <c r="B1711" s="39">
        <v>45984</v>
      </c>
      <c r="D1711" s="36" t="s">
        <v>57</v>
      </c>
      <c r="E1711" s="36" t="s">
        <v>942</v>
      </c>
      <c r="F1711" s="36" t="s">
        <v>953</v>
      </c>
      <c r="L1711" s="42">
        <v>-37.9</v>
      </c>
    </row>
    <row r="1712" spans="2:12" ht="14.4" x14ac:dyDescent="0.3">
      <c r="B1712" s="39">
        <v>45984</v>
      </c>
      <c r="D1712" s="36" t="s">
        <v>355</v>
      </c>
      <c r="E1712" s="36" t="s">
        <v>1101</v>
      </c>
      <c r="F1712" s="36" t="s">
        <v>137</v>
      </c>
      <c r="L1712" s="42">
        <v>-60</v>
      </c>
    </row>
    <row r="1713" spans="2:12" ht="14.4" x14ac:dyDescent="0.3">
      <c r="B1713" s="39">
        <v>45985</v>
      </c>
      <c r="D1713" s="36" t="s">
        <v>57</v>
      </c>
      <c r="E1713" s="36" t="s">
        <v>300</v>
      </c>
      <c r="F1713" s="36" t="s">
        <v>347</v>
      </c>
      <c r="L1713" s="42">
        <v>-88.99</v>
      </c>
    </row>
    <row r="1714" spans="2:12" ht="14.4" x14ac:dyDescent="0.3">
      <c r="B1714" s="39">
        <v>45985</v>
      </c>
      <c r="D1714" s="36" t="s">
        <v>355</v>
      </c>
      <c r="E1714" s="36" t="s">
        <v>1102</v>
      </c>
      <c r="F1714" s="36" t="s">
        <v>137</v>
      </c>
      <c r="L1714" s="42">
        <v>-60</v>
      </c>
    </row>
    <row r="1715" spans="2:12" ht="14.4" x14ac:dyDescent="0.3">
      <c r="B1715" s="39">
        <v>45987</v>
      </c>
      <c r="D1715" s="36" t="s">
        <v>57</v>
      </c>
      <c r="E1715" s="36" t="s">
        <v>1113</v>
      </c>
      <c r="F1715" s="36" t="s">
        <v>1117</v>
      </c>
      <c r="L1715" s="42">
        <v>-39.99</v>
      </c>
    </row>
    <row r="1716" spans="2:12" ht="14.4" x14ac:dyDescent="0.3">
      <c r="B1716" s="39">
        <v>45987</v>
      </c>
      <c r="D1716" s="36" t="s">
        <v>355</v>
      </c>
      <c r="E1716" s="36" t="s">
        <v>1103</v>
      </c>
      <c r="F1716" s="36" t="s">
        <v>137</v>
      </c>
      <c r="L1716" s="42">
        <v>-60</v>
      </c>
    </row>
    <row r="1717" spans="2:12" ht="14.4" x14ac:dyDescent="0.3">
      <c r="B1717" s="39">
        <v>45988</v>
      </c>
      <c r="D1717" s="36" t="s">
        <v>57</v>
      </c>
      <c r="E1717" s="36" t="s">
        <v>311</v>
      </c>
      <c r="F1717" s="36" t="s">
        <v>310</v>
      </c>
      <c r="K1717" s="42">
        <v>-4497</v>
      </c>
      <c r="L1717" s="42">
        <v>4497</v>
      </c>
    </row>
    <row r="1718" spans="2:12" ht="14.4" x14ac:dyDescent="0.3">
      <c r="B1718" s="39">
        <v>45988</v>
      </c>
      <c r="D1718" s="36" t="s">
        <v>1118</v>
      </c>
      <c r="E1718" s="36" t="s">
        <v>1104</v>
      </c>
      <c r="F1718" s="36" t="s">
        <v>137</v>
      </c>
      <c r="L1718" s="42">
        <v>-900</v>
      </c>
    </row>
    <row r="1719" spans="2:12" ht="14.4" x14ac:dyDescent="0.3">
      <c r="B1719" s="39">
        <v>45988</v>
      </c>
      <c r="D1719" s="36" t="s">
        <v>355</v>
      </c>
      <c r="E1719" s="36" t="s">
        <v>1105</v>
      </c>
      <c r="F1719" s="36" t="s">
        <v>137</v>
      </c>
      <c r="L1719" s="42">
        <v>-60</v>
      </c>
    </row>
    <row r="1720" spans="2:12" ht="14.4" x14ac:dyDescent="0.3">
      <c r="B1720" s="39">
        <v>45988</v>
      </c>
      <c r="D1720" s="36" t="s">
        <v>355</v>
      </c>
      <c r="E1720" s="36" t="s">
        <v>1106</v>
      </c>
      <c r="F1720" s="36" t="s">
        <v>137</v>
      </c>
      <c r="L1720" s="42">
        <v>-60</v>
      </c>
    </row>
    <row r="1721" spans="2:12" ht="14.4" x14ac:dyDescent="0.3">
      <c r="B1721" s="39">
        <v>45988</v>
      </c>
      <c r="D1721" s="36" t="s">
        <v>57</v>
      </c>
      <c r="E1721" s="36" t="s">
        <v>1114</v>
      </c>
      <c r="F1721" s="36" t="s">
        <v>70</v>
      </c>
      <c r="L1721" s="42">
        <v>-13.85</v>
      </c>
    </row>
    <row r="1722" spans="2:12" ht="14.4" x14ac:dyDescent="0.3">
      <c r="B1722" s="39">
        <v>45989</v>
      </c>
      <c r="D1722" s="36" t="s">
        <v>194</v>
      </c>
      <c r="E1722" s="36" t="s">
        <v>1130</v>
      </c>
      <c r="F1722" s="36" t="s">
        <v>524</v>
      </c>
      <c r="H1722" s="42">
        <v>2454</v>
      </c>
    </row>
    <row r="1723" spans="2:12" ht="14.4" x14ac:dyDescent="0.3">
      <c r="B1723" s="39">
        <v>45989</v>
      </c>
      <c r="D1723" s="36" t="s">
        <v>177</v>
      </c>
      <c r="E1723" s="36" t="s">
        <v>1121</v>
      </c>
      <c r="F1723" s="36" t="s">
        <v>524</v>
      </c>
      <c r="K1723" s="42">
        <v>2008</v>
      </c>
    </row>
    <row r="1724" spans="2:12" ht="14.4" x14ac:dyDescent="0.3">
      <c r="B1724" s="39">
        <v>45990</v>
      </c>
      <c r="D1724" s="36" t="s">
        <v>57</v>
      </c>
      <c r="E1724" s="36" t="s">
        <v>777</v>
      </c>
      <c r="F1724" s="36" t="s">
        <v>1119</v>
      </c>
      <c r="L1724" s="42">
        <v>-30.13</v>
      </c>
    </row>
    <row r="1725" spans="2:12" ht="14.4" x14ac:dyDescent="0.3">
      <c r="B1725" s="39">
        <v>45990</v>
      </c>
      <c r="D1725" s="36" t="s">
        <v>57</v>
      </c>
      <c r="E1725" s="36" t="s">
        <v>768</v>
      </c>
      <c r="F1725" s="36" t="s">
        <v>70</v>
      </c>
      <c r="L1725" s="42">
        <v>-21.91</v>
      </c>
    </row>
    <row r="1726" spans="2:12" ht="14.4" x14ac:dyDescent="0.3">
      <c r="B1726" s="39">
        <v>45990</v>
      </c>
      <c r="D1726" s="36" t="s">
        <v>57</v>
      </c>
      <c r="E1726" s="36" t="s">
        <v>768</v>
      </c>
      <c r="F1726" s="36" t="s">
        <v>70</v>
      </c>
      <c r="L1726" s="42">
        <v>-13.96</v>
      </c>
    </row>
    <row r="1727" spans="2:12" ht="14.4" x14ac:dyDescent="0.3">
      <c r="B1727" s="39">
        <v>45990</v>
      </c>
      <c r="D1727" s="36" t="s">
        <v>355</v>
      </c>
      <c r="E1727" s="36" t="s">
        <v>1107</v>
      </c>
      <c r="F1727" s="36" t="s">
        <v>137</v>
      </c>
      <c r="L1727" s="42">
        <v>-60</v>
      </c>
    </row>
    <row r="1728" spans="2:12" ht="14.4" x14ac:dyDescent="0.3">
      <c r="B1728" s="39">
        <v>45990</v>
      </c>
      <c r="D1728" s="36" t="s">
        <v>355</v>
      </c>
      <c r="E1728" s="36" t="s">
        <v>1108</v>
      </c>
      <c r="F1728" s="36" t="s">
        <v>137</v>
      </c>
      <c r="L1728" s="42">
        <v>-60</v>
      </c>
    </row>
    <row r="1729" spans="2:12" ht="14.4" x14ac:dyDescent="0.3">
      <c r="B1729" s="39">
        <v>45990</v>
      </c>
      <c r="D1729" s="36" t="s">
        <v>355</v>
      </c>
      <c r="E1729" s="36" t="s">
        <v>1135</v>
      </c>
      <c r="F1729" s="36" t="s">
        <v>137</v>
      </c>
      <c r="L1729" s="42">
        <v>-60</v>
      </c>
    </row>
    <row r="1730" spans="2:12" ht="14.4" x14ac:dyDescent="0.3">
      <c r="B1730" s="39">
        <v>45990</v>
      </c>
      <c r="D1730" s="36" t="s">
        <v>355</v>
      </c>
      <c r="E1730" s="36" t="s">
        <v>1136</v>
      </c>
      <c r="F1730" s="36" t="s">
        <v>137</v>
      </c>
      <c r="L1730" s="42">
        <v>-60</v>
      </c>
    </row>
    <row r="1731" spans="2:12" ht="14.4" x14ac:dyDescent="0.3">
      <c r="B1731" s="39">
        <v>45991</v>
      </c>
      <c r="D1731" s="36" t="s">
        <v>355</v>
      </c>
      <c r="E1731" s="36" t="s">
        <v>1128</v>
      </c>
      <c r="F1731" s="36" t="s">
        <v>524</v>
      </c>
      <c r="K1731" s="42">
        <f>3301+434.37</f>
        <v>3735.37</v>
      </c>
    </row>
    <row r="1732" spans="2:12" ht="14.4" x14ac:dyDescent="0.3">
      <c r="B1732" s="39">
        <v>45991</v>
      </c>
      <c r="D1732" s="36" t="s">
        <v>1118</v>
      </c>
      <c r="E1732" s="36" t="s">
        <v>1130</v>
      </c>
      <c r="F1732" s="36" t="s">
        <v>524</v>
      </c>
      <c r="K1732" s="42">
        <f>5876+1518</f>
        <v>7394</v>
      </c>
    </row>
    <row r="1733" spans="2:12" ht="14.4" x14ac:dyDescent="0.3">
      <c r="B1733" s="39">
        <v>45991</v>
      </c>
      <c r="D1733" s="36" t="s">
        <v>940</v>
      </c>
      <c r="E1733" s="36" t="s">
        <v>1129</v>
      </c>
      <c r="F1733" s="36" t="s">
        <v>524</v>
      </c>
      <c r="H1733" s="42">
        <v>4390</v>
      </c>
      <c r="K1733" s="42">
        <f>53078+1476</f>
        <v>54554</v>
      </c>
    </row>
    <row r="1734" spans="2:12" ht="14.4" x14ac:dyDescent="0.3">
      <c r="B1734" s="39">
        <v>45991</v>
      </c>
      <c r="D1734" s="36" t="s">
        <v>783</v>
      </c>
      <c r="E1734" s="36" t="s">
        <v>1130</v>
      </c>
      <c r="F1734" s="36" t="s">
        <v>524</v>
      </c>
      <c r="K1734" s="42">
        <v>2004</v>
      </c>
    </row>
    <row r="1735" spans="2:12" ht="14.4" x14ac:dyDescent="0.3">
      <c r="B1735" s="39">
        <v>45991</v>
      </c>
      <c r="C1735" s="39" t="s">
        <v>553</v>
      </c>
      <c r="D1735" s="36" t="s">
        <v>940</v>
      </c>
      <c r="E1735" s="36" t="s">
        <v>959</v>
      </c>
      <c r="F1735" s="36" t="s">
        <v>959</v>
      </c>
      <c r="G1735" s="42">
        <v>-33213</v>
      </c>
    </row>
    <row r="1736" spans="2:12" ht="14.4" x14ac:dyDescent="0.3">
      <c r="B1736" s="39">
        <v>45991</v>
      </c>
      <c r="C1736" s="39" t="s">
        <v>553</v>
      </c>
      <c r="D1736" s="36" t="s">
        <v>1118</v>
      </c>
      <c r="E1736" s="36" t="s">
        <v>959</v>
      </c>
      <c r="F1736" s="36" t="s">
        <v>959</v>
      </c>
      <c r="G1736" s="42">
        <v>-4991</v>
      </c>
    </row>
    <row r="1737" spans="2:12" ht="14.4" x14ac:dyDescent="0.3">
      <c r="B1737" s="39">
        <v>45991</v>
      </c>
      <c r="C1737" s="39" t="s">
        <v>553</v>
      </c>
      <c r="D1737" s="36" t="s">
        <v>177</v>
      </c>
      <c r="E1737" s="36" t="s">
        <v>959</v>
      </c>
      <c r="F1737" s="36" t="s">
        <v>959</v>
      </c>
      <c r="G1737" s="42">
        <v>-1937</v>
      </c>
    </row>
    <row r="1738" spans="2:12" ht="14.4" x14ac:dyDescent="0.3">
      <c r="B1738" s="39">
        <v>45991</v>
      </c>
      <c r="C1738" s="39" t="s">
        <v>553</v>
      </c>
      <c r="D1738" s="36" t="s">
        <v>519</v>
      </c>
      <c r="E1738" s="36" t="s">
        <v>959</v>
      </c>
      <c r="F1738" s="36" t="s">
        <v>959</v>
      </c>
      <c r="G1738" s="42">
        <v>-1950</v>
      </c>
    </row>
    <row r="1739" spans="2:12" ht="14.4" x14ac:dyDescent="0.3">
      <c r="B1739" s="39">
        <v>45991</v>
      </c>
      <c r="C1739" s="39" t="s">
        <v>553</v>
      </c>
      <c r="D1739" s="36" t="s">
        <v>194</v>
      </c>
      <c r="E1739" s="36" t="s">
        <v>959</v>
      </c>
      <c r="F1739" s="36" t="s">
        <v>959</v>
      </c>
      <c r="G1739" s="42">
        <f>-1740-293</f>
        <v>-2033</v>
      </c>
    </row>
    <row r="1740" spans="2:12" ht="14.4" x14ac:dyDescent="0.3">
      <c r="B1740" s="39">
        <v>45991</v>
      </c>
      <c r="C1740" s="39" t="s">
        <v>553</v>
      </c>
      <c r="D1740" s="36" t="s">
        <v>783</v>
      </c>
      <c r="E1740" s="36" t="s">
        <v>959</v>
      </c>
      <c r="F1740" s="36" t="s">
        <v>959</v>
      </c>
      <c r="G1740" s="42">
        <v>-1000</v>
      </c>
    </row>
    <row r="1741" spans="2:12" ht="14.4" x14ac:dyDescent="0.3">
      <c r="B1741" s="39">
        <v>45991</v>
      </c>
      <c r="C1741" s="39" t="s">
        <v>553</v>
      </c>
      <c r="D1741" s="36" t="s">
        <v>355</v>
      </c>
      <c r="E1741" s="36" t="s">
        <v>959</v>
      </c>
      <c r="F1741" s="36" t="s">
        <v>959</v>
      </c>
      <c r="G1741" s="42">
        <v>-457</v>
      </c>
    </row>
    <row r="1742" spans="2:12" ht="14.4" x14ac:dyDescent="0.3">
      <c r="B1742" s="39">
        <v>45991</v>
      </c>
      <c r="C1742" s="39" t="s">
        <v>554</v>
      </c>
      <c r="D1742" s="36" t="s">
        <v>57</v>
      </c>
      <c r="E1742" s="36" t="s">
        <v>977</v>
      </c>
      <c r="F1742" s="36" t="s">
        <v>959</v>
      </c>
      <c r="G1742" s="42">
        <v>45581</v>
      </c>
    </row>
    <row r="1743" spans="2:12" ht="14.4" x14ac:dyDescent="0.3">
      <c r="B1743" s="39">
        <v>45991</v>
      </c>
      <c r="D1743" s="36" t="s">
        <v>355</v>
      </c>
      <c r="E1743" s="36" t="s">
        <v>1137</v>
      </c>
      <c r="F1743" s="36" t="s">
        <v>137</v>
      </c>
      <c r="L1743" s="42">
        <v>-60</v>
      </c>
    </row>
    <row r="1744" spans="2:12" ht="14.4" x14ac:dyDescent="0.3">
      <c r="B1744" s="39">
        <v>45991</v>
      </c>
      <c r="D1744" s="36" t="s">
        <v>355</v>
      </c>
      <c r="E1744" s="36" t="s">
        <v>1138</v>
      </c>
      <c r="F1744" s="63" t="s">
        <v>137</v>
      </c>
      <c r="L1744" s="42">
        <v>-60</v>
      </c>
    </row>
    <row r="1745" spans="2:12" ht="14.4" x14ac:dyDescent="0.3">
      <c r="B1745" s="39">
        <v>45991</v>
      </c>
      <c r="D1745" s="36" t="s">
        <v>177</v>
      </c>
      <c r="E1745" s="36" t="s">
        <v>1139</v>
      </c>
      <c r="F1745" s="63" t="s">
        <v>137</v>
      </c>
      <c r="L1745" s="42">
        <v>-826.28</v>
      </c>
    </row>
    <row r="1746" spans="2:12" ht="14.4" x14ac:dyDescent="0.3">
      <c r="B1746" s="39">
        <v>45991</v>
      </c>
      <c r="D1746" s="36" t="s">
        <v>355</v>
      </c>
      <c r="E1746" s="36" t="s">
        <v>1140</v>
      </c>
      <c r="F1746" s="63" t="s">
        <v>137</v>
      </c>
      <c r="L1746" s="42">
        <v>-71.44</v>
      </c>
    </row>
    <row r="1747" spans="2:12" ht="14.4" x14ac:dyDescent="0.3">
      <c r="B1747" s="39">
        <v>45992</v>
      </c>
      <c r="D1747" s="36" t="s">
        <v>57</v>
      </c>
      <c r="E1747" s="36" t="s">
        <v>1131</v>
      </c>
      <c r="F1747" s="63" t="s">
        <v>330</v>
      </c>
      <c r="L1747" s="42">
        <v>-4225</v>
      </c>
    </row>
    <row r="1748" spans="2:12" ht="14.4" x14ac:dyDescent="0.3">
      <c r="B1748" s="39">
        <v>45992</v>
      </c>
      <c r="C1748" s="39" t="s">
        <v>553</v>
      </c>
      <c r="D1748" s="36" t="s">
        <v>57</v>
      </c>
      <c r="E1748" s="36" t="s">
        <v>959</v>
      </c>
      <c r="F1748" s="36" t="s">
        <v>959</v>
      </c>
      <c r="G1748" s="42">
        <v>-33552</v>
      </c>
    </row>
    <row r="1749" spans="2:12" ht="14.4" x14ac:dyDescent="0.3">
      <c r="B1749" s="39">
        <v>45992</v>
      </c>
      <c r="C1749" s="39" t="s">
        <v>554</v>
      </c>
      <c r="D1749" s="36" t="s">
        <v>564</v>
      </c>
      <c r="E1749" s="36" t="s">
        <v>959</v>
      </c>
      <c r="F1749" s="36" t="s">
        <v>959</v>
      </c>
      <c r="G1749" s="42">
        <v>33552</v>
      </c>
    </row>
    <row r="1750" spans="2:12" ht="14.4" x14ac:dyDescent="0.3">
      <c r="B1750" s="39">
        <v>45992</v>
      </c>
      <c r="D1750" s="36" t="s">
        <v>564</v>
      </c>
      <c r="E1750" s="49" t="s">
        <v>979</v>
      </c>
      <c r="F1750" s="49" t="s">
        <v>980</v>
      </c>
      <c r="L1750" s="42">
        <v>-4697</v>
      </c>
    </row>
    <row r="1751" spans="2:12" ht="14.4" x14ac:dyDescent="0.3">
      <c r="B1751" s="39">
        <v>45992</v>
      </c>
      <c r="D1751" s="36" t="s">
        <v>564</v>
      </c>
      <c r="E1751" s="49" t="s">
        <v>1134</v>
      </c>
      <c r="F1751" s="49" t="s">
        <v>980</v>
      </c>
      <c r="L1751" s="42">
        <v>-9618</v>
      </c>
    </row>
    <row r="1752" spans="2:12" ht="14.4" x14ac:dyDescent="0.3">
      <c r="B1752" s="39">
        <v>45992</v>
      </c>
      <c r="D1752" s="36" t="s">
        <v>564</v>
      </c>
      <c r="E1752" s="49" t="s">
        <v>1133</v>
      </c>
      <c r="F1752" s="49" t="s">
        <v>980</v>
      </c>
      <c r="H1752" s="42">
        <v>-9618</v>
      </c>
    </row>
    <row r="1753" spans="2:12" ht="14.4" x14ac:dyDescent="0.3">
      <c r="B1753" s="39">
        <v>45992</v>
      </c>
      <c r="D1753" s="36" t="s">
        <v>564</v>
      </c>
      <c r="E1753" s="49" t="s">
        <v>1059</v>
      </c>
      <c r="F1753" s="49" t="s">
        <v>980</v>
      </c>
      <c r="L1753" s="42">
        <v>-9618</v>
      </c>
    </row>
    <row r="1754" spans="2:12" ht="14.4" x14ac:dyDescent="0.3">
      <c r="B1754" s="39">
        <v>45992</v>
      </c>
      <c r="D1754" s="36" t="s">
        <v>1262</v>
      </c>
      <c r="E1754" s="36" t="s">
        <v>1141</v>
      </c>
      <c r="F1754" s="36" t="s">
        <v>137</v>
      </c>
      <c r="L1754" s="42">
        <v>-141.74</v>
      </c>
    </row>
    <row r="1755" spans="2:12" ht="14.4" x14ac:dyDescent="0.3">
      <c r="B1755" s="39">
        <v>45992</v>
      </c>
      <c r="D1755" s="36" t="s">
        <v>1262</v>
      </c>
      <c r="E1755" s="36" t="s">
        <v>1142</v>
      </c>
      <c r="F1755" s="36" t="s">
        <v>137</v>
      </c>
      <c r="L1755" s="42">
        <v>-70.87</v>
      </c>
    </row>
    <row r="1756" spans="2:12" ht="14.4" x14ac:dyDescent="0.3">
      <c r="B1756" s="39">
        <v>45992</v>
      </c>
      <c r="D1756" s="36" t="s">
        <v>355</v>
      </c>
      <c r="E1756" s="36" t="s">
        <v>1143</v>
      </c>
      <c r="F1756" s="36" t="s">
        <v>137</v>
      </c>
      <c r="L1756" s="42">
        <v>-60</v>
      </c>
    </row>
    <row r="1757" spans="2:12" ht="14.4" x14ac:dyDescent="0.3">
      <c r="B1757" s="39">
        <v>45992</v>
      </c>
      <c r="D1757" s="36" t="s">
        <v>355</v>
      </c>
      <c r="E1757" s="36" t="s">
        <v>1144</v>
      </c>
      <c r="F1757" s="36" t="s">
        <v>137</v>
      </c>
      <c r="L1757" s="42">
        <v>-60</v>
      </c>
    </row>
    <row r="1758" spans="2:12" ht="14.4" x14ac:dyDescent="0.3">
      <c r="B1758" s="39">
        <v>45992</v>
      </c>
      <c r="D1758" s="36" t="s">
        <v>1262</v>
      </c>
      <c r="E1758" s="36" t="s">
        <v>1145</v>
      </c>
      <c r="F1758" s="36" t="s">
        <v>137</v>
      </c>
      <c r="L1758" s="42">
        <v>-225.02</v>
      </c>
    </row>
    <row r="1759" spans="2:12" ht="14.4" x14ac:dyDescent="0.3">
      <c r="B1759" s="39">
        <v>45992</v>
      </c>
      <c r="D1759" s="36" t="s">
        <v>1262</v>
      </c>
      <c r="E1759" s="36" t="s">
        <v>1146</v>
      </c>
      <c r="F1759" s="36" t="s">
        <v>137</v>
      </c>
      <c r="L1759" s="42">
        <v>-112.51</v>
      </c>
    </row>
    <row r="1760" spans="2:12" ht="14.4" x14ac:dyDescent="0.3">
      <c r="B1760" s="39">
        <v>45992</v>
      </c>
      <c r="D1760" s="36" t="s">
        <v>57</v>
      </c>
      <c r="E1760" s="36" t="s">
        <v>346</v>
      </c>
      <c r="F1760" s="36" t="s">
        <v>193</v>
      </c>
      <c r="L1760" s="42">
        <v>-52.47</v>
      </c>
    </row>
    <row r="1761" spans="2:12" ht="14.4" x14ac:dyDescent="0.3">
      <c r="B1761" s="39">
        <v>45993</v>
      </c>
      <c r="D1761" s="36" t="s">
        <v>355</v>
      </c>
      <c r="E1761" s="36" t="s">
        <v>1147</v>
      </c>
      <c r="F1761" s="36" t="s">
        <v>137</v>
      </c>
      <c r="L1761" s="42">
        <v>-60</v>
      </c>
    </row>
    <row r="1762" spans="2:12" ht="14.4" x14ac:dyDescent="0.3">
      <c r="B1762" s="39">
        <v>45993</v>
      </c>
      <c r="D1762" s="36" t="s">
        <v>355</v>
      </c>
      <c r="E1762" s="36" t="s">
        <v>1148</v>
      </c>
      <c r="F1762" s="36" t="s">
        <v>137</v>
      </c>
      <c r="L1762" s="42">
        <v>-60</v>
      </c>
    </row>
    <row r="1763" spans="2:12" ht="14.4" x14ac:dyDescent="0.3">
      <c r="B1763" s="39">
        <v>45993</v>
      </c>
      <c r="D1763" s="36" t="s">
        <v>1262</v>
      </c>
      <c r="E1763" s="36" t="s">
        <v>1149</v>
      </c>
      <c r="F1763" s="36" t="s">
        <v>137</v>
      </c>
      <c r="L1763" s="42">
        <v>-44.52</v>
      </c>
    </row>
    <row r="1764" spans="2:12" ht="14.4" x14ac:dyDescent="0.3">
      <c r="B1764" s="39">
        <v>45993</v>
      </c>
      <c r="D1764" s="36" t="s">
        <v>1263</v>
      </c>
      <c r="E1764" s="36" t="s">
        <v>1150</v>
      </c>
      <c r="F1764" s="36" t="s">
        <v>137</v>
      </c>
      <c r="L1764" s="42">
        <v>-636.54999999999995</v>
      </c>
    </row>
    <row r="1765" spans="2:12" ht="14.4" x14ac:dyDescent="0.3">
      <c r="B1765" s="39">
        <v>45993</v>
      </c>
      <c r="D1765" s="36" t="s">
        <v>355</v>
      </c>
      <c r="E1765" s="36" t="s">
        <v>1151</v>
      </c>
      <c r="F1765" s="36" t="s">
        <v>137</v>
      </c>
      <c r="L1765" s="42">
        <v>-60</v>
      </c>
    </row>
    <row r="1766" spans="2:12" ht="14.4" x14ac:dyDescent="0.3">
      <c r="B1766" s="39">
        <v>45994</v>
      </c>
      <c r="D1766" s="36" t="s">
        <v>355</v>
      </c>
      <c r="E1766" s="36" t="s">
        <v>1152</v>
      </c>
      <c r="F1766" s="36" t="s">
        <v>137</v>
      </c>
      <c r="L1766" s="42">
        <v>-60</v>
      </c>
    </row>
    <row r="1767" spans="2:12" ht="14.4" x14ac:dyDescent="0.3">
      <c r="B1767" s="39">
        <v>45994</v>
      </c>
      <c r="D1767" s="36" t="s">
        <v>355</v>
      </c>
      <c r="E1767" s="36" t="s">
        <v>1153</v>
      </c>
      <c r="F1767" s="36" t="s">
        <v>137</v>
      </c>
      <c r="L1767" s="42">
        <v>-60</v>
      </c>
    </row>
    <row r="1768" spans="2:12" ht="14.4" x14ac:dyDescent="0.3">
      <c r="B1768" s="39">
        <v>45994</v>
      </c>
      <c r="D1768" s="36" t="s">
        <v>355</v>
      </c>
      <c r="E1768" s="36" t="s">
        <v>1154</v>
      </c>
      <c r="F1768" s="36" t="s">
        <v>137</v>
      </c>
      <c r="L1768" s="42">
        <v>-7.63</v>
      </c>
    </row>
    <row r="1769" spans="2:12" ht="14.4" x14ac:dyDescent="0.3">
      <c r="B1769" s="39">
        <v>45994</v>
      </c>
      <c r="D1769" s="36" t="s">
        <v>57</v>
      </c>
      <c r="E1769" s="36" t="s">
        <v>281</v>
      </c>
      <c r="F1769" s="36" t="s">
        <v>282</v>
      </c>
      <c r="L1769" s="42">
        <v>-20</v>
      </c>
    </row>
    <row r="1770" spans="2:12" ht="14.4" x14ac:dyDescent="0.3">
      <c r="B1770" s="39">
        <v>45994</v>
      </c>
      <c r="D1770" s="36" t="s">
        <v>57</v>
      </c>
      <c r="E1770" s="36" t="s">
        <v>1114</v>
      </c>
      <c r="F1770" s="36" t="s">
        <v>70</v>
      </c>
      <c r="L1770" s="42">
        <v>-9.6</v>
      </c>
    </row>
    <row r="1771" spans="2:12" ht="14.4" x14ac:dyDescent="0.3">
      <c r="B1771" s="39">
        <v>45995</v>
      </c>
      <c r="D1771" s="36" t="s">
        <v>355</v>
      </c>
      <c r="E1771" s="36" t="s">
        <v>1155</v>
      </c>
      <c r="F1771" s="36" t="s">
        <v>137</v>
      </c>
      <c r="L1771" s="42">
        <v>-60</v>
      </c>
    </row>
    <row r="1772" spans="2:12" ht="14.4" x14ac:dyDescent="0.3">
      <c r="B1772" s="39">
        <v>45995</v>
      </c>
      <c r="D1772" s="36" t="s">
        <v>355</v>
      </c>
      <c r="E1772" s="36" t="s">
        <v>1156</v>
      </c>
      <c r="F1772" s="36" t="s">
        <v>137</v>
      </c>
      <c r="L1772" s="42">
        <v>-60</v>
      </c>
    </row>
    <row r="1773" spans="2:12" ht="14.4" x14ac:dyDescent="0.3">
      <c r="B1773" s="39">
        <v>45995</v>
      </c>
      <c r="D1773" s="36" t="s">
        <v>57</v>
      </c>
      <c r="E1773" s="36" t="s">
        <v>825</v>
      </c>
      <c r="F1773" s="36" t="s">
        <v>780</v>
      </c>
      <c r="L1773" s="42">
        <v>-30.59</v>
      </c>
    </row>
    <row r="1774" spans="2:12" ht="14.4" x14ac:dyDescent="0.3">
      <c r="B1774" s="39">
        <v>45997</v>
      </c>
      <c r="D1774" s="36" t="s">
        <v>355</v>
      </c>
      <c r="E1774" s="36" t="s">
        <v>1157</v>
      </c>
      <c r="F1774" s="36" t="s">
        <v>137</v>
      </c>
      <c r="L1774" s="42">
        <v>-60</v>
      </c>
    </row>
    <row r="1775" spans="2:12" ht="14.4" x14ac:dyDescent="0.3">
      <c r="B1775" s="39">
        <v>45997</v>
      </c>
      <c r="D1775" s="36" t="s">
        <v>355</v>
      </c>
      <c r="E1775" s="36" t="s">
        <v>1158</v>
      </c>
      <c r="F1775" s="36" t="s">
        <v>137</v>
      </c>
      <c r="L1775" s="42">
        <v>-60</v>
      </c>
    </row>
    <row r="1776" spans="2:12" ht="14.4" x14ac:dyDescent="0.3">
      <c r="B1776" s="39">
        <v>45997</v>
      </c>
      <c r="D1776" s="36" t="s">
        <v>355</v>
      </c>
      <c r="E1776" s="36" t="s">
        <v>1159</v>
      </c>
      <c r="F1776" s="36" t="s">
        <v>137</v>
      </c>
      <c r="L1776" s="42">
        <v>-60</v>
      </c>
    </row>
    <row r="1777" spans="2:12" ht="14.4" x14ac:dyDescent="0.3">
      <c r="B1777" s="39">
        <v>45997</v>
      </c>
      <c r="D1777" s="36" t="s">
        <v>57</v>
      </c>
      <c r="E1777" s="36" t="s">
        <v>1250</v>
      </c>
      <c r="F1777" s="36" t="s">
        <v>1275</v>
      </c>
      <c r="L1777" s="42">
        <v>-40</v>
      </c>
    </row>
    <row r="1778" spans="2:12" ht="14.4" x14ac:dyDescent="0.3">
      <c r="B1778" s="39">
        <v>45997</v>
      </c>
      <c r="D1778" s="36" t="s">
        <v>57</v>
      </c>
      <c r="E1778" s="36" t="s">
        <v>1251</v>
      </c>
      <c r="F1778" s="36" t="s">
        <v>1276</v>
      </c>
      <c r="L1778" s="42">
        <v>-567.08000000000004</v>
      </c>
    </row>
    <row r="1779" spans="2:12" ht="14.4" x14ac:dyDescent="0.3">
      <c r="B1779" s="39">
        <v>45997</v>
      </c>
      <c r="D1779" s="36" t="s">
        <v>57</v>
      </c>
      <c r="E1779" s="36" t="s">
        <v>768</v>
      </c>
      <c r="F1779" s="36" t="s">
        <v>70</v>
      </c>
      <c r="L1779" s="42">
        <v>-15.12</v>
      </c>
    </row>
    <row r="1780" spans="2:12" ht="14.4" x14ac:dyDescent="0.3">
      <c r="B1780" s="39">
        <v>45998</v>
      </c>
      <c r="D1780" s="36" t="s">
        <v>355</v>
      </c>
      <c r="E1780" s="36" t="s">
        <v>1160</v>
      </c>
      <c r="F1780" s="36" t="s">
        <v>137</v>
      </c>
      <c r="L1780" s="42">
        <v>-60</v>
      </c>
    </row>
    <row r="1781" spans="2:12" ht="14.4" x14ac:dyDescent="0.3">
      <c r="B1781" s="39">
        <v>45998</v>
      </c>
      <c r="D1781" s="36" t="s">
        <v>355</v>
      </c>
      <c r="E1781" s="36" t="s">
        <v>1161</v>
      </c>
      <c r="F1781" s="36" t="s">
        <v>137</v>
      </c>
      <c r="L1781" s="42">
        <v>-60.06</v>
      </c>
    </row>
    <row r="1782" spans="2:12" ht="14.4" x14ac:dyDescent="0.3">
      <c r="B1782" s="39">
        <v>45998</v>
      </c>
      <c r="D1782" s="36" t="s">
        <v>57</v>
      </c>
      <c r="E1782" s="36" t="s">
        <v>1252</v>
      </c>
      <c r="F1782" s="36" t="s">
        <v>1277</v>
      </c>
      <c r="L1782" s="42">
        <v>-182.82</v>
      </c>
    </row>
    <row r="1783" spans="2:12" ht="14.4" x14ac:dyDescent="0.3">
      <c r="B1783" s="39">
        <v>45998</v>
      </c>
      <c r="D1783" s="36" t="s">
        <v>57</v>
      </c>
      <c r="E1783" s="36" t="s">
        <v>1279</v>
      </c>
      <c r="F1783" s="36" t="s">
        <v>1278</v>
      </c>
      <c r="L1783" s="42">
        <v>-55.28</v>
      </c>
    </row>
    <row r="1784" spans="2:12" ht="14.4" x14ac:dyDescent="0.3">
      <c r="B1784" s="39">
        <v>45999</v>
      </c>
      <c r="D1784" s="36" t="s">
        <v>355</v>
      </c>
      <c r="E1784" s="36" t="s">
        <v>1162</v>
      </c>
      <c r="F1784" s="36" t="s">
        <v>137</v>
      </c>
      <c r="L1784" s="42">
        <v>-60</v>
      </c>
    </row>
    <row r="1785" spans="2:12" ht="14.4" x14ac:dyDescent="0.3">
      <c r="B1785" s="39">
        <v>45999</v>
      </c>
      <c r="D1785" s="36" t="s">
        <v>57</v>
      </c>
      <c r="E1785" s="36" t="s">
        <v>1110</v>
      </c>
      <c r="F1785" s="36" t="s">
        <v>781</v>
      </c>
      <c r="L1785" s="42">
        <v>-99</v>
      </c>
    </row>
    <row r="1786" spans="2:12" ht="14.4" x14ac:dyDescent="0.3">
      <c r="B1786" s="39">
        <v>45999</v>
      </c>
      <c r="D1786" s="36" t="s">
        <v>57</v>
      </c>
      <c r="E1786" s="36" t="s">
        <v>1253</v>
      </c>
      <c r="F1786" s="36" t="s">
        <v>1280</v>
      </c>
      <c r="L1786" s="42">
        <v>-1.95</v>
      </c>
    </row>
    <row r="1787" spans="2:12" ht="14.4" x14ac:dyDescent="0.3">
      <c r="B1787" s="39">
        <v>46000</v>
      </c>
      <c r="D1787" s="36" t="s">
        <v>355</v>
      </c>
      <c r="E1787" s="36" t="s">
        <v>1163</v>
      </c>
      <c r="F1787" s="36" t="s">
        <v>137</v>
      </c>
      <c r="L1787" s="42">
        <v>-60</v>
      </c>
    </row>
    <row r="1788" spans="2:12" ht="14.4" x14ac:dyDescent="0.3">
      <c r="B1788" s="39">
        <v>46000</v>
      </c>
      <c r="D1788" s="36" t="s">
        <v>355</v>
      </c>
      <c r="E1788" s="36" t="s">
        <v>1164</v>
      </c>
      <c r="F1788" s="36" t="s">
        <v>137</v>
      </c>
      <c r="L1788" s="42">
        <v>-60</v>
      </c>
    </row>
    <row r="1789" spans="2:12" ht="14.4" x14ac:dyDescent="0.3">
      <c r="B1789" s="39">
        <v>46000</v>
      </c>
      <c r="D1789" s="36" t="s">
        <v>57</v>
      </c>
      <c r="E1789" s="36" t="s">
        <v>257</v>
      </c>
      <c r="F1789" s="36" t="s">
        <v>131</v>
      </c>
      <c r="L1789" s="42">
        <v>-38.380000000000003</v>
      </c>
    </row>
    <row r="1790" spans="2:12" ht="14.4" x14ac:dyDescent="0.3">
      <c r="B1790" s="39">
        <v>46001</v>
      </c>
      <c r="D1790" s="36" t="s">
        <v>355</v>
      </c>
      <c r="E1790" s="36" t="s">
        <v>1165</v>
      </c>
      <c r="F1790" s="36" t="s">
        <v>137</v>
      </c>
      <c r="L1790" s="42">
        <v>-60</v>
      </c>
    </row>
    <row r="1791" spans="2:12" ht="14.4" x14ac:dyDescent="0.3">
      <c r="B1791" s="39">
        <v>46001</v>
      </c>
      <c r="D1791" s="36" t="s">
        <v>355</v>
      </c>
      <c r="E1791" s="36" t="s">
        <v>1166</v>
      </c>
      <c r="F1791" s="36" t="s">
        <v>137</v>
      </c>
      <c r="L1791" s="42">
        <v>-17.559999999999999</v>
      </c>
    </row>
    <row r="1792" spans="2:12" ht="14.4" x14ac:dyDescent="0.3">
      <c r="B1792" s="39">
        <v>46001</v>
      </c>
      <c r="D1792" s="36" t="s">
        <v>1281</v>
      </c>
      <c r="E1792" s="36" t="s">
        <v>773</v>
      </c>
      <c r="F1792" s="36" t="s">
        <v>1283</v>
      </c>
      <c r="L1792" s="42">
        <v>-1155.28</v>
      </c>
    </row>
    <row r="1793" spans="2:12" ht="14.4" x14ac:dyDescent="0.3">
      <c r="B1793" s="39">
        <v>46001</v>
      </c>
      <c r="D1793" s="36" t="s">
        <v>940</v>
      </c>
      <c r="E1793" s="36" t="s">
        <v>1022</v>
      </c>
      <c r="F1793" s="36" t="s">
        <v>1286</v>
      </c>
      <c r="L1793" s="42">
        <v>-788</v>
      </c>
    </row>
    <row r="1794" spans="2:12" ht="14.4" x14ac:dyDescent="0.3">
      <c r="B1794" s="39">
        <v>46001</v>
      </c>
      <c r="D1794" s="36" t="s">
        <v>1281</v>
      </c>
      <c r="E1794" s="36" t="s">
        <v>469</v>
      </c>
      <c r="F1794" s="36" t="s">
        <v>1283</v>
      </c>
      <c r="L1794" s="42">
        <v>1124.49</v>
      </c>
    </row>
    <row r="1795" spans="2:12" ht="14.4" x14ac:dyDescent="0.3">
      <c r="B1795" s="39">
        <v>46001</v>
      </c>
      <c r="D1795" s="36" t="s">
        <v>57</v>
      </c>
      <c r="E1795" s="36" t="s">
        <v>1114</v>
      </c>
      <c r="F1795" s="36" t="s">
        <v>70</v>
      </c>
      <c r="L1795" s="42">
        <v>-0.43</v>
      </c>
    </row>
    <row r="1796" spans="2:12" ht="14.4" x14ac:dyDescent="0.3">
      <c r="B1796" s="39">
        <v>46002</v>
      </c>
      <c r="D1796" s="36" t="s">
        <v>355</v>
      </c>
      <c r="E1796" s="36" t="s">
        <v>1167</v>
      </c>
      <c r="F1796" s="36" t="s">
        <v>137</v>
      </c>
      <c r="L1796" s="42">
        <v>-60</v>
      </c>
    </row>
    <row r="1797" spans="2:12" ht="14.4" x14ac:dyDescent="0.3">
      <c r="B1797" s="39">
        <v>46002</v>
      </c>
      <c r="D1797" s="36" t="s">
        <v>57</v>
      </c>
      <c r="E1797" s="36" t="s">
        <v>311</v>
      </c>
      <c r="F1797" s="36" t="s">
        <v>310</v>
      </c>
      <c r="K1797" s="42">
        <f>-L1797</f>
        <v>-4221</v>
      </c>
      <c r="L1797" s="42">
        <v>4221</v>
      </c>
    </row>
    <row r="1798" spans="2:12" ht="14.4" x14ac:dyDescent="0.3">
      <c r="B1798" s="39">
        <v>46002</v>
      </c>
      <c r="D1798" s="36" t="s">
        <v>57</v>
      </c>
      <c r="E1798" s="36" t="s">
        <v>948</v>
      </c>
      <c r="F1798" s="36" t="s">
        <v>70</v>
      </c>
      <c r="L1798" s="42">
        <v>-65.099999999999994</v>
      </c>
    </row>
    <row r="1799" spans="2:12" ht="14.4" x14ac:dyDescent="0.3">
      <c r="B1799" s="39">
        <v>46003</v>
      </c>
      <c r="D1799" s="36" t="s">
        <v>355</v>
      </c>
      <c r="E1799" s="36" t="s">
        <v>1168</v>
      </c>
      <c r="F1799" s="36" t="s">
        <v>137</v>
      </c>
      <c r="L1799" s="42">
        <v>-60</v>
      </c>
    </row>
    <row r="1800" spans="2:12" ht="14.4" x14ac:dyDescent="0.3">
      <c r="B1800" s="39">
        <v>46004</v>
      </c>
      <c r="D1800" s="36" t="s">
        <v>355</v>
      </c>
      <c r="E1800" s="36" t="s">
        <v>1169</v>
      </c>
      <c r="F1800" s="36" t="s">
        <v>137</v>
      </c>
      <c r="L1800" s="42">
        <v>-60</v>
      </c>
    </row>
    <row r="1801" spans="2:12" ht="14.4" x14ac:dyDescent="0.3">
      <c r="B1801" s="39">
        <v>46004</v>
      </c>
      <c r="D1801" s="36" t="s">
        <v>355</v>
      </c>
      <c r="E1801" s="36" t="s">
        <v>1170</v>
      </c>
      <c r="F1801" s="36" t="s">
        <v>137</v>
      </c>
      <c r="L1801" s="42">
        <v>-60</v>
      </c>
    </row>
    <row r="1802" spans="2:12" ht="14.4" x14ac:dyDescent="0.3">
      <c r="B1802" s="39">
        <v>46004</v>
      </c>
      <c r="D1802" s="36" t="s">
        <v>57</v>
      </c>
      <c r="E1802" s="36" t="s">
        <v>1254</v>
      </c>
      <c r="F1802" s="36" t="s">
        <v>952</v>
      </c>
      <c r="L1802" s="42">
        <v>-16.27</v>
      </c>
    </row>
    <row r="1803" spans="2:12" ht="14.4" x14ac:dyDescent="0.3">
      <c r="B1803" s="39">
        <v>46005</v>
      </c>
      <c r="D1803" s="36" t="s">
        <v>355</v>
      </c>
      <c r="E1803" s="36" t="s">
        <v>1171</v>
      </c>
      <c r="F1803" s="36" t="s">
        <v>137</v>
      </c>
      <c r="L1803" s="42">
        <v>-60</v>
      </c>
    </row>
    <row r="1804" spans="2:12" ht="14.4" x14ac:dyDescent="0.3">
      <c r="B1804" s="39">
        <v>46006</v>
      </c>
      <c r="D1804" s="36" t="s">
        <v>355</v>
      </c>
      <c r="E1804" s="36" t="s">
        <v>1172</v>
      </c>
      <c r="F1804" s="36" t="s">
        <v>137</v>
      </c>
      <c r="L1804" s="42">
        <v>-60</v>
      </c>
    </row>
    <row r="1805" spans="2:12" ht="14.4" x14ac:dyDescent="0.3">
      <c r="B1805" s="39">
        <v>46006</v>
      </c>
      <c r="D1805" s="36" t="s">
        <v>355</v>
      </c>
      <c r="E1805" s="36" t="s">
        <v>1173</v>
      </c>
      <c r="F1805" s="36" t="s">
        <v>137</v>
      </c>
      <c r="L1805" s="42">
        <v>-11.95</v>
      </c>
    </row>
    <row r="1806" spans="2:12" ht="14.4" x14ac:dyDescent="0.3">
      <c r="B1806" s="39">
        <v>46006</v>
      </c>
      <c r="D1806" s="36" t="s">
        <v>110</v>
      </c>
      <c r="E1806" s="36" t="s">
        <v>311</v>
      </c>
      <c r="F1806" s="36" t="s">
        <v>310</v>
      </c>
      <c r="K1806" s="42">
        <f>-L1806</f>
        <v>-4886</v>
      </c>
      <c r="L1806" s="42">
        <v>4886</v>
      </c>
    </row>
    <row r="1807" spans="2:12" ht="14.4" x14ac:dyDescent="0.3">
      <c r="B1807" s="39">
        <v>46007</v>
      </c>
      <c r="D1807" s="36" t="s">
        <v>355</v>
      </c>
      <c r="E1807" s="36" t="s">
        <v>1174</v>
      </c>
      <c r="F1807" s="36" t="s">
        <v>137</v>
      </c>
      <c r="L1807" s="42">
        <v>-2.13</v>
      </c>
    </row>
    <row r="1808" spans="2:12" ht="14.4" x14ac:dyDescent="0.3">
      <c r="B1808" s="39">
        <v>46009</v>
      </c>
      <c r="D1808" s="36" t="s">
        <v>355</v>
      </c>
      <c r="E1808" s="36" t="s">
        <v>1175</v>
      </c>
      <c r="F1808" s="36" t="s">
        <v>137</v>
      </c>
      <c r="L1808" s="42">
        <v>-35.909999999999997</v>
      </c>
    </row>
    <row r="1809" spans="2:12" ht="14.4" x14ac:dyDescent="0.3">
      <c r="B1809" s="39">
        <v>46009</v>
      </c>
      <c r="D1809" s="36" t="s">
        <v>57</v>
      </c>
      <c r="E1809" s="36" t="s">
        <v>471</v>
      </c>
      <c r="F1809" s="36" t="s">
        <v>1287</v>
      </c>
      <c r="L1809" s="42">
        <v>-263.63</v>
      </c>
    </row>
    <row r="1810" spans="2:12" ht="14.4" x14ac:dyDescent="0.3">
      <c r="B1810" s="39">
        <v>46010</v>
      </c>
      <c r="D1810" s="36" t="s">
        <v>110</v>
      </c>
      <c r="E1810" s="36" t="s">
        <v>311</v>
      </c>
      <c r="F1810" s="36" t="s">
        <v>310</v>
      </c>
      <c r="K1810" s="42">
        <f>-L1810</f>
        <v>-11480.3</v>
      </c>
      <c r="L1810" s="42">
        <v>11480.3</v>
      </c>
    </row>
    <row r="1811" spans="2:12" ht="14.4" x14ac:dyDescent="0.3">
      <c r="B1811" s="39">
        <v>46011</v>
      </c>
      <c r="D1811" s="36" t="s">
        <v>355</v>
      </c>
      <c r="E1811" s="36" t="s">
        <v>1176</v>
      </c>
      <c r="F1811" s="36" t="s">
        <v>137</v>
      </c>
      <c r="L1811" s="42">
        <v>-100</v>
      </c>
    </row>
    <row r="1812" spans="2:12" ht="14.4" x14ac:dyDescent="0.3">
      <c r="B1812" s="39">
        <v>46011</v>
      </c>
      <c r="D1812" s="36" t="s">
        <v>57</v>
      </c>
      <c r="E1812" s="36" t="s">
        <v>300</v>
      </c>
      <c r="F1812" s="36" t="s">
        <v>347</v>
      </c>
      <c r="L1812" s="42">
        <v>-53.92</v>
      </c>
    </row>
    <row r="1813" spans="2:12" ht="14.4" x14ac:dyDescent="0.3">
      <c r="B1813" s="39">
        <v>46012</v>
      </c>
      <c r="D1813" s="36" t="s">
        <v>355</v>
      </c>
      <c r="E1813" s="36" t="s">
        <v>1177</v>
      </c>
      <c r="F1813" s="36" t="s">
        <v>137</v>
      </c>
      <c r="L1813" s="42">
        <v>-100</v>
      </c>
    </row>
    <row r="1814" spans="2:12" ht="14.4" x14ac:dyDescent="0.3">
      <c r="B1814" s="39">
        <v>46012</v>
      </c>
      <c r="D1814" s="36" t="s">
        <v>57</v>
      </c>
      <c r="E1814" s="36" t="s">
        <v>948</v>
      </c>
      <c r="F1814" s="36" t="s">
        <v>70</v>
      </c>
      <c r="L1814" s="42">
        <v>-15.46</v>
      </c>
    </row>
    <row r="1815" spans="2:12" ht="14.4" x14ac:dyDescent="0.3">
      <c r="B1815" s="39">
        <v>46012</v>
      </c>
      <c r="D1815" s="36" t="s">
        <v>57</v>
      </c>
      <c r="E1815" s="36" t="s">
        <v>948</v>
      </c>
      <c r="F1815" s="36" t="s">
        <v>70</v>
      </c>
      <c r="L1815" s="42">
        <v>-13.62</v>
      </c>
    </row>
    <row r="1816" spans="2:12" ht="14.4" x14ac:dyDescent="0.3">
      <c r="B1816" s="39">
        <v>46012</v>
      </c>
      <c r="D1816" s="36" t="s">
        <v>57</v>
      </c>
      <c r="E1816" s="36" t="s">
        <v>948</v>
      </c>
      <c r="F1816" s="36" t="s">
        <v>70</v>
      </c>
      <c r="L1816" s="42">
        <v>-10.08</v>
      </c>
    </row>
    <row r="1817" spans="2:12" ht="14.4" x14ac:dyDescent="0.3">
      <c r="B1817" s="39">
        <v>46013</v>
      </c>
      <c r="D1817" s="36" t="s">
        <v>1261</v>
      </c>
      <c r="E1817" s="36" t="s">
        <v>1178</v>
      </c>
      <c r="F1817" s="36" t="s">
        <v>137</v>
      </c>
      <c r="L1817" s="42">
        <v>-311.70999999999998</v>
      </c>
    </row>
    <row r="1818" spans="2:12" ht="14.4" x14ac:dyDescent="0.3">
      <c r="B1818" s="39">
        <v>46013</v>
      </c>
      <c r="D1818" s="36" t="s">
        <v>57</v>
      </c>
      <c r="E1818" s="36" t="s">
        <v>471</v>
      </c>
      <c r="F1818" s="36" t="s">
        <v>330</v>
      </c>
      <c r="L1818" s="42">
        <v>-3870.13</v>
      </c>
    </row>
    <row r="1819" spans="2:12" ht="14.4" x14ac:dyDescent="0.3">
      <c r="B1819" s="39">
        <v>46014</v>
      </c>
      <c r="D1819" s="36" t="s">
        <v>355</v>
      </c>
      <c r="E1819" s="36" t="s">
        <v>1179</v>
      </c>
      <c r="F1819" s="36" t="s">
        <v>137</v>
      </c>
      <c r="L1819" s="42">
        <v>-100</v>
      </c>
    </row>
    <row r="1820" spans="2:12" ht="14.4" x14ac:dyDescent="0.3">
      <c r="B1820" s="39">
        <v>46014</v>
      </c>
      <c r="D1820" s="36" t="s">
        <v>57</v>
      </c>
      <c r="E1820" s="36" t="s">
        <v>344</v>
      </c>
      <c r="F1820" s="36" t="s">
        <v>1288</v>
      </c>
      <c r="L1820" s="42">
        <v>-510.2</v>
      </c>
    </row>
    <row r="1821" spans="2:12" ht="14.4" x14ac:dyDescent="0.3">
      <c r="B1821" s="39">
        <v>46015</v>
      </c>
      <c r="D1821" s="36" t="s">
        <v>57</v>
      </c>
      <c r="E1821" s="36" t="s">
        <v>471</v>
      </c>
      <c r="F1821" s="36" t="s">
        <v>330</v>
      </c>
      <c r="L1821" s="42">
        <v>-660.83</v>
      </c>
    </row>
    <row r="1822" spans="2:12" ht="14.4" x14ac:dyDescent="0.3">
      <c r="B1822" s="39">
        <v>46016</v>
      </c>
      <c r="D1822" s="36" t="s">
        <v>355</v>
      </c>
      <c r="E1822" s="36" t="s">
        <v>1180</v>
      </c>
      <c r="F1822" s="36" t="s">
        <v>137</v>
      </c>
      <c r="L1822" s="42">
        <v>-100</v>
      </c>
    </row>
    <row r="1823" spans="2:12" ht="14.4" x14ac:dyDescent="0.3">
      <c r="B1823" s="39">
        <v>46018</v>
      </c>
      <c r="D1823" s="36" t="s">
        <v>1261</v>
      </c>
      <c r="E1823" s="36" t="s">
        <v>1181</v>
      </c>
      <c r="F1823" s="36" t="s">
        <v>137</v>
      </c>
      <c r="L1823" s="42">
        <v>-900</v>
      </c>
    </row>
    <row r="1824" spans="2:12" ht="14.4" x14ac:dyDescent="0.3">
      <c r="B1824" s="39">
        <v>46018</v>
      </c>
      <c r="D1824" s="36" t="s">
        <v>355</v>
      </c>
      <c r="E1824" s="36" t="s">
        <v>1182</v>
      </c>
      <c r="F1824" s="36" t="s">
        <v>137</v>
      </c>
      <c r="L1824" s="42">
        <v>-100</v>
      </c>
    </row>
    <row r="1825" spans="2:12" ht="14.4" x14ac:dyDescent="0.3">
      <c r="B1825" s="39">
        <v>46020</v>
      </c>
      <c r="D1825" s="36" t="s">
        <v>355</v>
      </c>
      <c r="E1825" s="36" t="s">
        <v>1183</v>
      </c>
      <c r="F1825" s="36" t="s">
        <v>137</v>
      </c>
      <c r="L1825" s="42">
        <v>-100</v>
      </c>
    </row>
    <row r="1826" spans="2:12" ht="14.4" x14ac:dyDescent="0.3">
      <c r="B1826" s="39">
        <v>46020</v>
      </c>
      <c r="D1826" s="36" t="s">
        <v>57</v>
      </c>
      <c r="E1826" s="36" t="s">
        <v>948</v>
      </c>
      <c r="F1826" s="36" t="s">
        <v>70</v>
      </c>
      <c r="L1826" s="42">
        <v>-22.31</v>
      </c>
    </row>
    <row r="1827" spans="2:12" ht="14.4" x14ac:dyDescent="0.3">
      <c r="B1827" s="39">
        <v>46022</v>
      </c>
      <c r="D1827" s="36" t="s">
        <v>1261</v>
      </c>
      <c r="E1827" s="36" t="s">
        <v>1184</v>
      </c>
      <c r="F1827" s="36" t="s">
        <v>137</v>
      </c>
      <c r="L1827" s="42">
        <v>-900</v>
      </c>
    </row>
    <row r="1828" spans="2:12" ht="14.4" x14ac:dyDescent="0.3">
      <c r="B1828" s="39">
        <v>46022</v>
      </c>
      <c r="D1828" s="36" t="s">
        <v>355</v>
      </c>
      <c r="E1828" s="36" t="s">
        <v>1273</v>
      </c>
      <c r="F1828" s="36" t="s">
        <v>524</v>
      </c>
      <c r="K1828" s="42">
        <v>2566</v>
      </c>
    </row>
    <row r="1829" spans="2:12" ht="14.4" x14ac:dyDescent="0.3">
      <c r="B1829" s="39">
        <v>46022</v>
      </c>
      <c r="D1829" s="36" t="s">
        <v>1262</v>
      </c>
      <c r="E1829" s="36" t="s">
        <v>1273</v>
      </c>
      <c r="F1829" s="36" t="s">
        <v>524</v>
      </c>
      <c r="K1829" s="42">
        <v>3419</v>
      </c>
    </row>
    <row r="1830" spans="2:12" ht="14.4" x14ac:dyDescent="0.3">
      <c r="B1830" s="39">
        <v>46022</v>
      </c>
      <c r="D1830" s="36" t="s">
        <v>1263</v>
      </c>
      <c r="E1830" s="36" t="s">
        <v>1273</v>
      </c>
      <c r="F1830" s="36" t="s">
        <v>524</v>
      </c>
      <c r="K1830" s="42">
        <v>1044</v>
      </c>
    </row>
    <row r="1831" spans="2:12" ht="14.4" x14ac:dyDescent="0.3">
      <c r="B1831" s="39">
        <v>46023</v>
      </c>
      <c r="D1831" s="36" t="s">
        <v>57</v>
      </c>
      <c r="E1831" s="36" t="s">
        <v>1255</v>
      </c>
      <c r="F1831" s="36" t="s">
        <v>1282</v>
      </c>
      <c r="L1831" s="42">
        <v>-29.95</v>
      </c>
    </row>
    <row r="1832" spans="2:12" ht="14.4" x14ac:dyDescent="0.3">
      <c r="B1832" s="39">
        <v>46025</v>
      </c>
      <c r="D1832" s="36" t="s">
        <v>1261</v>
      </c>
      <c r="E1832" s="36" t="s">
        <v>1185</v>
      </c>
      <c r="F1832" s="36" t="s">
        <v>137</v>
      </c>
      <c r="L1832" s="42">
        <v>-900</v>
      </c>
    </row>
    <row r="1833" spans="2:12" ht="14.4" x14ac:dyDescent="0.3">
      <c r="B1833" s="39">
        <v>46025</v>
      </c>
      <c r="D1833" s="36" t="s">
        <v>355</v>
      </c>
      <c r="E1833" s="36" t="s">
        <v>1186</v>
      </c>
      <c r="F1833" s="36" t="s">
        <v>137</v>
      </c>
      <c r="L1833" s="42">
        <v>-25.85</v>
      </c>
    </row>
    <row r="1834" spans="2:12" ht="14.4" x14ac:dyDescent="0.3">
      <c r="B1834" s="39">
        <v>46025</v>
      </c>
      <c r="D1834" s="36" t="s">
        <v>355</v>
      </c>
      <c r="E1834" s="36" t="s">
        <v>1187</v>
      </c>
      <c r="F1834" s="36" t="s">
        <v>137</v>
      </c>
      <c r="L1834" s="42">
        <v>-100</v>
      </c>
    </row>
    <row r="1835" spans="2:12" ht="14.4" x14ac:dyDescent="0.3">
      <c r="B1835" s="39">
        <v>46025</v>
      </c>
      <c r="D1835" s="36" t="s">
        <v>57</v>
      </c>
      <c r="E1835" s="36" t="s">
        <v>312</v>
      </c>
      <c r="F1835" s="36" t="s">
        <v>115</v>
      </c>
      <c r="L1835" s="42">
        <v>-20.2</v>
      </c>
    </row>
    <row r="1836" spans="2:12" ht="14.4" x14ac:dyDescent="0.3">
      <c r="B1836" s="39">
        <v>46026</v>
      </c>
      <c r="D1836" s="36" t="s">
        <v>1261</v>
      </c>
      <c r="E1836" s="36" t="s">
        <v>1188</v>
      </c>
      <c r="F1836" s="36" t="s">
        <v>137</v>
      </c>
      <c r="L1836" s="42">
        <v>-900</v>
      </c>
    </row>
    <row r="1837" spans="2:12" ht="14.4" x14ac:dyDescent="0.3">
      <c r="B1837" s="39">
        <v>46027</v>
      </c>
      <c r="D1837" s="36" t="s">
        <v>355</v>
      </c>
      <c r="E1837" s="36" t="s">
        <v>1189</v>
      </c>
      <c r="F1837" s="36" t="s">
        <v>137</v>
      </c>
      <c r="L1837" s="42">
        <v>-100</v>
      </c>
    </row>
    <row r="1838" spans="2:12" ht="14.4" x14ac:dyDescent="0.3">
      <c r="B1838" s="39">
        <v>46027</v>
      </c>
      <c r="D1838" s="36" t="s">
        <v>1261</v>
      </c>
      <c r="E1838" s="36" t="s">
        <v>1190</v>
      </c>
      <c r="F1838" s="36" t="s">
        <v>137</v>
      </c>
      <c r="L1838" s="42">
        <v>-1454</v>
      </c>
    </row>
    <row r="1839" spans="2:12" ht="14.4" x14ac:dyDescent="0.3">
      <c r="B1839" s="39">
        <v>46027</v>
      </c>
      <c r="D1839" s="36" t="s">
        <v>57</v>
      </c>
      <c r="E1839" s="36" t="s">
        <v>346</v>
      </c>
      <c r="F1839" s="36" t="s">
        <v>193</v>
      </c>
      <c r="L1839" s="42">
        <v>-51.54</v>
      </c>
    </row>
    <row r="1840" spans="2:12" ht="14.4" x14ac:dyDescent="0.3">
      <c r="B1840" s="39">
        <v>46028</v>
      </c>
      <c r="D1840" s="36" t="s">
        <v>1264</v>
      </c>
      <c r="E1840" s="36" t="s">
        <v>1191</v>
      </c>
      <c r="F1840" s="36" t="s">
        <v>137</v>
      </c>
      <c r="L1840" s="42">
        <v>-19.95</v>
      </c>
    </row>
    <row r="1841" spans="2:12" ht="14.4" x14ac:dyDescent="0.3">
      <c r="B1841" s="39">
        <v>46028</v>
      </c>
      <c r="D1841" s="36" t="s">
        <v>1261</v>
      </c>
      <c r="E1841" s="36" t="s">
        <v>1192</v>
      </c>
      <c r="F1841" s="36" t="s">
        <v>137</v>
      </c>
      <c r="L1841" s="42">
        <v>-965</v>
      </c>
    </row>
    <row r="1842" spans="2:12" ht="14.4" x14ac:dyDescent="0.3">
      <c r="B1842" s="39">
        <v>46028</v>
      </c>
      <c r="D1842" s="36" t="s">
        <v>1261</v>
      </c>
      <c r="E1842" s="36" t="s">
        <v>1193</v>
      </c>
      <c r="F1842" s="36" t="s">
        <v>137</v>
      </c>
      <c r="L1842" s="42">
        <v>-1454</v>
      </c>
    </row>
    <row r="1843" spans="2:12" ht="14.4" x14ac:dyDescent="0.3">
      <c r="B1843" s="39">
        <v>46028</v>
      </c>
      <c r="D1843" s="36" t="s">
        <v>57</v>
      </c>
      <c r="E1843" s="36" t="s">
        <v>1110</v>
      </c>
      <c r="F1843" s="36" t="s">
        <v>781</v>
      </c>
      <c r="L1843" s="42">
        <v>-100.78</v>
      </c>
    </row>
    <row r="1844" spans="2:12" ht="14.4" x14ac:dyDescent="0.3">
      <c r="B1844" s="39">
        <v>46028</v>
      </c>
      <c r="D1844" s="36" t="s">
        <v>57</v>
      </c>
      <c r="E1844" s="36" t="s">
        <v>769</v>
      </c>
      <c r="F1844" s="36" t="s">
        <v>780</v>
      </c>
      <c r="L1844" s="42">
        <v>-30.55</v>
      </c>
    </row>
    <row r="1845" spans="2:12" ht="14.4" x14ac:dyDescent="0.3">
      <c r="B1845" s="39">
        <v>46028</v>
      </c>
      <c r="D1845" s="36" t="s">
        <v>57</v>
      </c>
      <c r="E1845" s="36" t="s">
        <v>948</v>
      </c>
      <c r="F1845" s="36" t="s">
        <v>70</v>
      </c>
      <c r="L1845" s="42">
        <v>-14.99</v>
      </c>
    </row>
    <row r="1846" spans="2:12" ht="14.4" x14ac:dyDescent="0.3">
      <c r="B1846" s="39">
        <v>46029</v>
      </c>
      <c r="D1846" s="36" t="s">
        <v>1261</v>
      </c>
      <c r="E1846" s="36" t="s">
        <v>1194</v>
      </c>
      <c r="F1846" s="36" t="s">
        <v>137</v>
      </c>
      <c r="L1846" s="42">
        <v>-1129</v>
      </c>
    </row>
    <row r="1847" spans="2:12" ht="14.4" x14ac:dyDescent="0.3">
      <c r="B1847" s="39">
        <v>46029</v>
      </c>
      <c r="D1847" s="36" t="s">
        <v>1261</v>
      </c>
      <c r="E1847" s="36" t="s">
        <v>1195</v>
      </c>
      <c r="F1847" s="36" t="s">
        <v>137</v>
      </c>
      <c r="L1847" s="42">
        <v>-965</v>
      </c>
    </row>
    <row r="1848" spans="2:12" ht="14.4" x14ac:dyDescent="0.3">
      <c r="B1848" s="39">
        <v>46029</v>
      </c>
      <c r="D1848" s="36" t="s">
        <v>1264</v>
      </c>
      <c r="E1848" s="36" t="s">
        <v>507</v>
      </c>
      <c r="F1848" s="36" t="s">
        <v>137</v>
      </c>
      <c r="L1848" s="42">
        <v>-10004</v>
      </c>
    </row>
    <row r="1849" spans="2:12" ht="14.4" x14ac:dyDescent="0.3">
      <c r="B1849" s="39">
        <v>46030</v>
      </c>
      <c r="D1849" s="36" t="s">
        <v>1261</v>
      </c>
      <c r="E1849" s="36" t="s">
        <v>1196</v>
      </c>
      <c r="F1849" s="36" t="s">
        <v>137</v>
      </c>
      <c r="L1849" s="42">
        <v>-1056</v>
      </c>
    </row>
    <row r="1850" spans="2:12" ht="14.4" x14ac:dyDescent="0.3">
      <c r="B1850" s="39">
        <v>46030</v>
      </c>
      <c r="D1850" s="36" t="s">
        <v>1261</v>
      </c>
      <c r="E1850" s="36" t="s">
        <v>1197</v>
      </c>
      <c r="F1850" s="36" t="s">
        <v>137</v>
      </c>
      <c r="L1850" s="42">
        <v>-1129</v>
      </c>
    </row>
    <row r="1851" spans="2:12" ht="14.4" x14ac:dyDescent="0.3">
      <c r="B1851" s="39">
        <v>46030</v>
      </c>
      <c r="D1851" s="36" t="s">
        <v>355</v>
      </c>
      <c r="E1851" s="36" t="s">
        <v>1198</v>
      </c>
      <c r="F1851" s="36" t="s">
        <v>137</v>
      </c>
      <c r="L1851" s="42">
        <v>-100</v>
      </c>
    </row>
    <row r="1852" spans="2:12" ht="14.4" x14ac:dyDescent="0.3">
      <c r="B1852" s="39">
        <v>46030</v>
      </c>
      <c r="D1852" s="36" t="s">
        <v>355</v>
      </c>
      <c r="E1852" s="36" t="s">
        <v>1199</v>
      </c>
      <c r="F1852" s="36" t="s">
        <v>137</v>
      </c>
      <c r="L1852" s="42">
        <v>-99.97</v>
      </c>
    </row>
    <row r="1853" spans="2:12" ht="14.4" x14ac:dyDescent="0.3">
      <c r="B1853" s="39">
        <v>46030</v>
      </c>
      <c r="D1853" s="36" t="s">
        <v>1261</v>
      </c>
      <c r="E1853" s="36" t="s">
        <v>1200</v>
      </c>
      <c r="F1853" s="36" t="s">
        <v>137</v>
      </c>
      <c r="L1853" s="42">
        <v>-1129</v>
      </c>
    </row>
    <row r="1854" spans="2:12" ht="14.4" x14ac:dyDescent="0.3">
      <c r="B1854" s="39">
        <v>46031</v>
      </c>
      <c r="D1854" s="36" t="s">
        <v>57</v>
      </c>
      <c r="E1854" s="36" t="s">
        <v>1114</v>
      </c>
      <c r="F1854" s="36" t="s">
        <v>70</v>
      </c>
      <c r="L1854" s="42">
        <v>-16.059999999999999</v>
      </c>
    </row>
    <row r="1855" spans="2:12" ht="14.4" x14ac:dyDescent="0.3">
      <c r="B1855" s="39">
        <v>46031</v>
      </c>
      <c r="D1855" s="36" t="s">
        <v>57</v>
      </c>
      <c r="E1855" s="36" t="s">
        <v>948</v>
      </c>
      <c r="F1855" s="36" t="s">
        <v>70</v>
      </c>
      <c r="L1855" s="42">
        <v>-66.5</v>
      </c>
    </row>
    <row r="1856" spans="2:12" ht="14.4" x14ac:dyDescent="0.3">
      <c r="B1856" s="39">
        <v>46032</v>
      </c>
      <c r="D1856" s="36" t="s">
        <v>355</v>
      </c>
      <c r="E1856" s="36" t="s">
        <v>1201</v>
      </c>
      <c r="F1856" s="36" t="s">
        <v>137</v>
      </c>
      <c r="L1856" s="42">
        <v>-100</v>
      </c>
    </row>
    <row r="1857" spans="2:12" ht="14.4" x14ac:dyDescent="0.3">
      <c r="B1857" s="39">
        <v>46032</v>
      </c>
      <c r="D1857" s="36" t="s">
        <v>1261</v>
      </c>
      <c r="E1857" s="36" t="s">
        <v>1202</v>
      </c>
      <c r="F1857" s="36" t="s">
        <v>137</v>
      </c>
      <c r="L1857" s="42">
        <v>-1434</v>
      </c>
    </row>
    <row r="1858" spans="2:12" ht="14.4" x14ac:dyDescent="0.3">
      <c r="B1858" s="39">
        <v>46032</v>
      </c>
      <c r="D1858" s="36" t="s">
        <v>355</v>
      </c>
      <c r="E1858" s="36" t="s">
        <v>1203</v>
      </c>
      <c r="F1858" s="36" t="s">
        <v>137</v>
      </c>
      <c r="L1858" s="42">
        <v>-100</v>
      </c>
    </row>
    <row r="1859" spans="2:12" ht="14.4" x14ac:dyDescent="0.3">
      <c r="B1859" s="39">
        <v>46032</v>
      </c>
      <c r="D1859" s="36" t="s">
        <v>355</v>
      </c>
      <c r="E1859" s="36" t="s">
        <v>1204</v>
      </c>
      <c r="F1859" s="36" t="s">
        <v>137</v>
      </c>
      <c r="L1859" s="42">
        <v>-100</v>
      </c>
    </row>
    <row r="1860" spans="2:12" ht="14.4" x14ac:dyDescent="0.3">
      <c r="B1860" s="39">
        <v>46032</v>
      </c>
      <c r="D1860" s="36" t="s">
        <v>355</v>
      </c>
      <c r="E1860" s="36" t="s">
        <v>1205</v>
      </c>
      <c r="F1860" s="36" t="s">
        <v>137</v>
      </c>
      <c r="L1860" s="42">
        <v>-100</v>
      </c>
    </row>
    <row r="1861" spans="2:12" ht="14.4" x14ac:dyDescent="0.3">
      <c r="B1861" s="39">
        <v>46032</v>
      </c>
      <c r="D1861" s="36" t="s">
        <v>1261</v>
      </c>
      <c r="E1861" s="36" t="s">
        <v>1206</v>
      </c>
      <c r="F1861" s="36" t="s">
        <v>137</v>
      </c>
      <c r="L1861" s="42">
        <v>-1434</v>
      </c>
    </row>
    <row r="1862" spans="2:12" ht="14.4" x14ac:dyDescent="0.3">
      <c r="B1862" s="39">
        <v>46032</v>
      </c>
      <c r="D1862" s="36" t="s">
        <v>1261</v>
      </c>
      <c r="E1862" s="36" t="s">
        <v>1207</v>
      </c>
      <c r="F1862" s="36" t="s">
        <v>137</v>
      </c>
      <c r="L1862" s="42">
        <v>-1434</v>
      </c>
    </row>
    <row r="1863" spans="2:12" ht="14.4" x14ac:dyDescent="0.3">
      <c r="B1863" s="39">
        <v>46032</v>
      </c>
      <c r="D1863" s="36" t="s">
        <v>355</v>
      </c>
      <c r="E1863" s="36" t="s">
        <v>1208</v>
      </c>
      <c r="F1863" s="36" t="s">
        <v>137</v>
      </c>
      <c r="L1863" s="42">
        <v>-100</v>
      </c>
    </row>
    <row r="1864" spans="2:12" ht="14.4" x14ac:dyDescent="0.3">
      <c r="B1864" s="39">
        <v>46032</v>
      </c>
      <c r="D1864" s="36" t="s">
        <v>355</v>
      </c>
      <c r="E1864" s="36" t="s">
        <v>1209</v>
      </c>
      <c r="F1864" s="36" t="s">
        <v>137</v>
      </c>
      <c r="L1864" s="42">
        <v>-100</v>
      </c>
    </row>
    <row r="1865" spans="2:12" ht="14.4" x14ac:dyDescent="0.3">
      <c r="B1865" s="39">
        <v>46032</v>
      </c>
      <c r="D1865" s="36" t="s">
        <v>355</v>
      </c>
      <c r="E1865" s="36" t="s">
        <v>1210</v>
      </c>
      <c r="F1865" s="36" t="s">
        <v>137</v>
      </c>
      <c r="L1865" s="42">
        <v>-100</v>
      </c>
    </row>
    <row r="1866" spans="2:12" ht="14.4" x14ac:dyDescent="0.3">
      <c r="B1866" s="39">
        <v>46032</v>
      </c>
      <c r="D1866" s="36" t="s">
        <v>57</v>
      </c>
      <c r="E1866" s="36" t="s">
        <v>992</v>
      </c>
      <c r="F1866" s="36" t="s">
        <v>115</v>
      </c>
      <c r="L1866" s="42">
        <v>-23.33</v>
      </c>
    </row>
    <row r="1867" spans="2:12" ht="14.4" x14ac:dyDescent="0.3">
      <c r="B1867" s="39">
        <v>46032</v>
      </c>
      <c r="D1867" s="36" t="s">
        <v>1261</v>
      </c>
      <c r="E1867" s="36" t="s">
        <v>264</v>
      </c>
      <c r="F1867" s="36" t="s">
        <v>121</v>
      </c>
      <c r="L1867" s="42">
        <v>-1010</v>
      </c>
    </row>
    <row r="1868" spans="2:12" ht="14.4" x14ac:dyDescent="0.3">
      <c r="B1868" s="39">
        <v>46032</v>
      </c>
      <c r="D1868" s="36" t="s">
        <v>57</v>
      </c>
      <c r="E1868" s="36" t="s">
        <v>257</v>
      </c>
      <c r="F1868" s="36" t="s">
        <v>131</v>
      </c>
      <c r="L1868" s="42">
        <v>-38.380000000000003</v>
      </c>
    </row>
    <row r="1869" spans="2:12" ht="14.4" x14ac:dyDescent="0.3">
      <c r="B1869" s="39">
        <v>46033</v>
      </c>
      <c r="D1869" s="36" t="s">
        <v>1261</v>
      </c>
      <c r="E1869" s="36" t="s">
        <v>1211</v>
      </c>
      <c r="F1869" s="36" t="s">
        <v>137</v>
      </c>
      <c r="L1869" s="42">
        <v>-1434</v>
      </c>
    </row>
    <row r="1870" spans="2:12" ht="14.4" x14ac:dyDescent="0.3">
      <c r="B1870" s="39">
        <v>46033</v>
      </c>
      <c r="D1870" s="36" t="s">
        <v>355</v>
      </c>
      <c r="E1870" s="36" t="s">
        <v>1212</v>
      </c>
      <c r="F1870" s="36" t="s">
        <v>137</v>
      </c>
      <c r="L1870" s="42">
        <v>-100</v>
      </c>
    </row>
    <row r="1871" spans="2:12" ht="14.4" x14ac:dyDescent="0.3">
      <c r="B1871" s="39">
        <v>46033</v>
      </c>
      <c r="D1871" s="36" t="s">
        <v>355</v>
      </c>
      <c r="E1871" s="36" t="s">
        <v>1213</v>
      </c>
      <c r="F1871" s="36" t="s">
        <v>137</v>
      </c>
      <c r="L1871" s="42">
        <v>-100</v>
      </c>
    </row>
    <row r="1872" spans="2:12" ht="14.4" x14ac:dyDescent="0.3">
      <c r="B1872" s="39">
        <v>46033</v>
      </c>
      <c r="D1872" s="36" t="s">
        <v>1261</v>
      </c>
      <c r="E1872" s="36" t="s">
        <v>1214</v>
      </c>
      <c r="F1872" s="36" t="s">
        <v>137</v>
      </c>
      <c r="L1872" s="42">
        <v>-1434</v>
      </c>
    </row>
    <row r="1873" spans="2:12" ht="14.4" x14ac:dyDescent="0.3">
      <c r="B1873" s="39">
        <v>46033</v>
      </c>
      <c r="D1873" s="36" t="s">
        <v>1264</v>
      </c>
      <c r="E1873" s="36" t="s">
        <v>1256</v>
      </c>
      <c r="F1873" s="36" t="s">
        <v>1285</v>
      </c>
      <c r="L1873" s="42">
        <v>-25.25</v>
      </c>
    </row>
    <row r="1874" spans="2:12" ht="14.4" x14ac:dyDescent="0.3">
      <c r="B1874" s="39">
        <v>46033</v>
      </c>
      <c r="D1874" s="36" t="s">
        <v>57</v>
      </c>
      <c r="E1874" s="36" t="s">
        <v>1257</v>
      </c>
      <c r="F1874" s="36" t="s">
        <v>952</v>
      </c>
      <c r="L1874" s="42">
        <v>-16.600000000000001</v>
      </c>
    </row>
    <row r="1875" spans="2:12" ht="14.4" x14ac:dyDescent="0.3">
      <c r="B1875" s="39">
        <v>46034</v>
      </c>
      <c r="D1875" s="36" t="s">
        <v>1261</v>
      </c>
      <c r="E1875" s="36" t="s">
        <v>1215</v>
      </c>
      <c r="F1875" s="36" t="s">
        <v>137</v>
      </c>
      <c r="L1875" s="42">
        <v>-1710</v>
      </c>
    </row>
    <row r="1876" spans="2:12" ht="14.4" x14ac:dyDescent="0.3">
      <c r="B1876" s="39">
        <v>46034</v>
      </c>
      <c r="D1876" s="36" t="s">
        <v>355</v>
      </c>
      <c r="E1876" s="36" t="s">
        <v>1216</v>
      </c>
      <c r="F1876" s="36" t="s">
        <v>137</v>
      </c>
      <c r="L1876" s="42">
        <v>-100</v>
      </c>
    </row>
    <row r="1877" spans="2:12" ht="14.4" x14ac:dyDescent="0.3">
      <c r="B1877" s="39">
        <v>46034</v>
      </c>
      <c r="D1877" s="36" t="s">
        <v>355</v>
      </c>
      <c r="E1877" s="36" t="s">
        <v>1217</v>
      </c>
      <c r="F1877" s="36" t="s">
        <v>137</v>
      </c>
      <c r="L1877" s="42">
        <v>-100</v>
      </c>
    </row>
    <row r="1878" spans="2:12" ht="14.4" x14ac:dyDescent="0.3">
      <c r="B1878" s="39">
        <v>46034</v>
      </c>
      <c r="D1878" s="36" t="s">
        <v>1261</v>
      </c>
      <c r="E1878" s="36" t="s">
        <v>1218</v>
      </c>
      <c r="F1878" s="36" t="s">
        <v>137</v>
      </c>
      <c r="L1878" s="42">
        <v>-1434</v>
      </c>
    </row>
    <row r="1879" spans="2:12" ht="14.4" x14ac:dyDescent="0.3">
      <c r="B1879" s="39">
        <v>46034</v>
      </c>
      <c r="D1879" s="36" t="s">
        <v>57</v>
      </c>
      <c r="E1879" s="36" t="s">
        <v>281</v>
      </c>
      <c r="F1879" s="36" t="s">
        <v>282</v>
      </c>
      <c r="L1879" s="42">
        <v>-20.2</v>
      </c>
    </row>
    <row r="1880" spans="2:12" ht="14.4" x14ac:dyDescent="0.3">
      <c r="B1880" s="39">
        <v>46035</v>
      </c>
      <c r="D1880" s="36" t="s">
        <v>355</v>
      </c>
      <c r="E1880" s="36" t="s">
        <v>1219</v>
      </c>
      <c r="F1880" s="36" t="s">
        <v>137</v>
      </c>
      <c r="L1880" s="42">
        <v>-100</v>
      </c>
    </row>
    <row r="1881" spans="2:12" ht="14.4" x14ac:dyDescent="0.3">
      <c r="B1881" s="39">
        <v>46035</v>
      </c>
      <c r="D1881" s="36" t="s">
        <v>355</v>
      </c>
      <c r="E1881" s="36" t="s">
        <v>1220</v>
      </c>
      <c r="F1881" s="36" t="s">
        <v>137</v>
      </c>
      <c r="L1881" s="42">
        <v>-100</v>
      </c>
    </row>
    <row r="1882" spans="2:12" ht="14.4" x14ac:dyDescent="0.3">
      <c r="B1882" s="39">
        <v>46036</v>
      </c>
      <c r="D1882" s="36" t="s">
        <v>355</v>
      </c>
      <c r="E1882" s="36" t="s">
        <v>1221</v>
      </c>
      <c r="F1882" s="36" t="s">
        <v>137</v>
      </c>
      <c r="L1882" s="42">
        <v>-100</v>
      </c>
    </row>
    <row r="1883" spans="2:12" ht="14.4" x14ac:dyDescent="0.3">
      <c r="B1883" s="39">
        <v>46036</v>
      </c>
      <c r="D1883" s="36" t="s">
        <v>355</v>
      </c>
      <c r="E1883" s="36" t="s">
        <v>1222</v>
      </c>
      <c r="F1883" s="36" t="s">
        <v>137</v>
      </c>
      <c r="L1883" s="42">
        <v>-100</v>
      </c>
    </row>
    <row r="1884" spans="2:12" ht="14.4" x14ac:dyDescent="0.3">
      <c r="B1884" s="39">
        <v>46036</v>
      </c>
      <c r="D1884" s="36" t="s">
        <v>355</v>
      </c>
      <c r="E1884" s="36" t="s">
        <v>1223</v>
      </c>
      <c r="F1884" s="36" t="s">
        <v>137</v>
      </c>
      <c r="L1884" s="42">
        <v>-100</v>
      </c>
    </row>
    <row r="1885" spans="2:12" ht="14.4" x14ac:dyDescent="0.3">
      <c r="B1885" s="39">
        <v>46036</v>
      </c>
      <c r="D1885" s="36" t="s">
        <v>355</v>
      </c>
      <c r="E1885" s="36" t="s">
        <v>1224</v>
      </c>
      <c r="F1885" s="36" t="s">
        <v>137</v>
      </c>
      <c r="L1885" s="42">
        <v>-100</v>
      </c>
    </row>
    <row r="1886" spans="2:12" ht="14.4" x14ac:dyDescent="0.3">
      <c r="B1886" s="39">
        <v>46037</v>
      </c>
      <c r="D1886" s="36" t="s">
        <v>355</v>
      </c>
      <c r="E1886" s="36" t="s">
        <v>1225</v>
      </c>
      <c r="F1886" s="36" t="s">
        <v>137</v>
      </c>
      <c r="L1886" s="42">
        <v>-100</v>
      </c>
    </row>
    <row r="1887" spans="2:12" ht="14.4" x14ac:dyDescent="0.3">
      <c r="B1887" s="39">
        <v>46037</v>
      </c>
      <c r="D1887" s="36" t="s">
        <v>355</v>
      </c>
      <c r="E1887" s="36" t="s">
        <v>1226</v>
      </c>
      <c r="F1887" s="36" t="s">
        <v>137</v>
      </c>
      <c r="L1887" s="42">
        <v>-100</v>
      </c>
    </row>
    <row r="1888" spans="2:12" ht="14.4" x14ac:dyDescent="0.3">
      <c r="B1888" s="39">
        <v>46038</v>
      </c>
      <c r="D1888" s="36" t="s">
        <v>110</v>
      </c>
      <c r="E1888" s="36" t="s">
        <v>311</v>
      </c>
      <c r="F1888" s="36" t="s">
        <v>310</v>
      </c>
      <c r="K1888" s="42">
        <f>-L1888</f>
        <v>-3497</v>
      </c>
      <c r="L1888" s="42">
        <v>3497</v>
      </c>
    </row>
    <row r="1889" spans="2:12" ht="14.4" x14ac:dyDescent="0.3">
      <c r="B1889" s="39">
        <v>46040</v>
      </c>
      <c r="D1889" s="36" t="s">
        <v>355</v>
      </c>
      <c r="E1889" s="36" t="s">
        <v>1227</v>
      </c>
      <c r="F1889" s="36" t="s">
        <v>137</v>
      </c>
      <c r="L1889" s="42">
        <v>-100</v>
      </c>
    </row>
    <row r="1890" spans="2:12" ht="14.4" x14ac:dyDescent="0.3">
      <c r="B1890" s="39">
        <v>46040</v>
      </c>
      <c r="D1890" s="36" t="s">
        <v>355</v>
      </c>
      <c r="E1890" s="36" t="s">
        <v>1228</v>
      </c>
      <c r="F1890" s="36" t="s">
        <v>137</v>
      </c>
      <c r="L1890" s="42">
        <v>-100</v>
      </c>
    </row>
    <row r="1891" spans="2:12" ht="14.4" x14ac:dyDescent="0.3">
      <c r="B1891" s="39">
        <v>46040</v>
      </c>
      <c r="D1891" s="36" t="s">
        <v>355</v>
      </c>
      <c r="E1891" s="36" t="s">
        <v>1229</v>
      </c>
      <c r="F1891" s="36" t="s">
        <v>137</v>
      </c>
      <c r="L1891" s="42">
        <v>-100</v>
      </c>
    </row>
    <row r="1892" spans="2:12" ht="14.4" x14ac:dyDescent="0.3">
      <c r="B1892" s="39">
        <v>46040</v>
      </c>
      <c r="D1892" s="36" t="s">
        <v>355</v>
      </c>
      <c r="E1892" s="36" t="s">
        <v>1230</v>
      </c>
      <c r="F1892" s="36" t="s">
        <v>137</v>
      </c>
      <c r="L1892" s="42">
        <v>-100</v>
      </c>
    </row>
    <row r="1893" spans="2:12" ht="14.4" x14ac:dyDescent="0.3">
      <c r="B1893" s="39">
        <v>46040</v>
      </c>
      <c r="D1893" s="36" t="s">
        <v>355</v>
      </c>
      <c r="E1893" s="36" t="s">
        <v>1231</v>
      </c>
      <c r="F1893" s="36" t="s">
        <v>137</v>
      </c>
      <c r="L1893" s="42">
        <v>-100</v>
      </c>
    </row>
    <row r="1894" spans="2:12" ht="14.4" x14ac:dyDescent="0.3">
      <c r="B1894" s="39">
        <v>46040</v>
      </c>
      <c r="D1894" s="36" t="s">
        <v>355</v>
      </c>
      <c r="E1894" s="36" t="s">
        <v>1232</v>
      </c>
      <c r="F1894" s="36" t="s">
        <v>137</v>
      </c>
      <c r="L1894" s="42">
        <v>-100</v>
      </c>
    </row>
    <row r="1895" spans="2:12" ht="14.4" x14ac:dyDescent="0.3">
      <c r="B1895" s="39">
        <v>46040</v>
      </c>
      <c r="D1895" s="36" t="s">
        <v>57</v>
      </c>
      <c r="E1895" s="36" t="s">
        <v>300</v>
      </c>
      <c r="F1895" s="36" t="s">
        <v>347</v>
      </c>
      <c r="L1895" s="42">
        <v>-53.92</v>
      </c>
    </row>
    <row r="1896" spans="2:12" ht="14.4" x14ac:dyDescent="0.3">
      <c r="B1896" s="39">
        <v>46041</v>
      </c>
      <c r="D1896" s="36" t="s">
        <v>355</v>
      </c>
      <c r="E1896" s="36" t="s">
        <v>1233</v>
      </c>
      <c r="F1896" s="36" t="s">
        <v>137</v>
      </c>
      <c r="L1896" s="42">
        <v>-100</v>
      </c>
    </row>
    <row r="1897" spans="2:12" ht="14.4" x14ac:dyDescent="0.3">
      <c r="B1897" s="39">
        <v>46041</v>
      </c>
      <c r="D1897" s="36" t="s">
        <v>355</v>
      </c>
      <c r="E1897" s="36" t="s">
        <v>1234</v>
      </c>
      <c r="F1897" s="36" t="s">
        <v>137</v>
      </c>
      <c r="L1897" s="42">
        <v>-100</v>
      </c>
    </row>
    <row r="1898" spans="2:12" ht="14.4" x14ac:dyDescent="0.3">
      <c r="B1898" s="39">
        <v>46041</v>
      </c>
      <c r="D1898" s="36" t="s">
        <v>1264</v>
      </c>
      <c r="E1898" s="36" t="s">
        <v>264</v>
      </c>
      <c r="F1898" s="36" t="s">
        <v>121</v>
      </c>
      <c r="L1898" s="42">
        <v>-50.5</v>
      </c>
    </row>
    <row r="1899" spans="2:12" ht="14.4" x14ac:dyDescent="0.3">
      <c r="B1899" s="39">
        <v>46041</v>
      </c>
      <c r="D1899" s="36" t="s">
        <v>1264</v>
      </c>
      <c r="E1899" s="36" t="s">
        <v>264</v>
      </c>
      <c r="F1899" s="36" t="s">
        <v>121</v>
      </c>
      <c r="L1899" s="42">
        <v>-50.5</v>
      </c>
    </row>
    <row r="1900" spans="2:12" ht="14.4" x14ac:dyDescent="0.3">
      <c r="B1900" s="39">
        <v>46041</v>
      </c>
      <c r="D1900" s="36" t="s">
        <v>1264</v>
      </c>
      <c r="E1900" s="36" t="s">
        <v>264</v>
      </c>
      <c r="F1900" s="36" t="s">
        <v>121</v>
      </c>
      <c r="L1900" s="42">
        <v>-50.5</v>
      </c>
    </row>
    <row r="1901" spans="2:12" ht="14.4" x14ac:dyDescent="0.3">
      <c r="B1901" s="39">
        <v>46041</v>
      </c>
      <c r="D1901" s="36" t="s">
        <v>1264</v>
      </c>
      <c r="E1901" s="36" t="s">
        <v>264</v>
      </c>
      <c r="F1901" s="36" t="s">
        <v>121</v>
      </c>
      <c r="L1901" s="42">
        <v>-50.5</v>
      </c>
    </row>
    <row r="1902" spans="2:12" ht="14.4" x14ac:dyDescent="0.3">
      <c r="B1902" s="39">
        <v>46041</v>
      </c>
      <c r="D1902" s="36" t="s">
        <v>1264</v>
      </c>
      <c r="E1902" s="36" t="s">
        <v>264</v>
      </c>
      <c r="F1902" s="36" t="s">
        <v>121</v>
      </c>
      <c r="L1902" s="42">
        <v>-50.5</v>
      </c>
    </row>
    <row r="1903" spans="2:12" ht="14.4" x14ac:dyDescent="0.3">
      <c r="B1903" s="39">
        <v>46041</v>
      </c>
      <c r="D1903" s="36" t="s">
        <v>1264</v>
      </c>
      <c r="E1903" s="36" t="s">
        <v>264</v>
      </c>
      <c r="F1903" s="36" t="s">
        <v>121</v>
      </c>
      <c r="L1903" s="42">
        <v>-10.1</v>
      </c>
    </row>
    <row r="1904" spans="2:12" ht="14.4" x14ac:dyDescent="0.3">
      <c r="B1904" s="39">
        <v>46042</v>
      </c>
      <c r="D1904" s="36" t="s">
        <v>355</v>
      </c>
      <c r="E1904" s="36" t="s">
        <v>1235</v>
      </c>
      <c r="F1904" s="36" t="s">
        <v>137</v>
      </c>
      <c r="L1904" s="42">
        <v>-100</v>
      </c>
    </row>
    <row r="1905" spans="2:12" ht="14.4" x14ac:dyDescent="0.3">
      <c r="B1905" s="39">
        <v>46042</v>
      </c>
      <c r="D1905" s="36" t="s">
        <v>355</v>
      </c>
      <c r="E1905" s="36" t="s">
        <v>1236</v>
      </c>
      <c r="F1905" s="36" t="s">
        <v>137</v>
      </c>
      <c r="L1905" s="42">
        <v>-100</v>
      </c>
    </row>
    <row r="1906" spans="2:12" ht="14.4" x14ac:dyDescent="0.3">
      <c r="B1906" s="39">
        <v>46042</v>
      </c>
      <c r="D1906" s="36" t="s">
        <v>279</v>
      </c>
      <c r="E1906" s="36" t="s">
        <v>1258</v>
      </c>
      <c r="F1906" s="36" t="s">
        <v>1284</v>
      </c>
      <c r="L1906" s="42">
        <v>-56.25</v>
      </c>
    </row>
    <row r="1907" spans="2:12" ht="14.4" x14ac:dyDescent="0.3">
      <c r="B1907" s="39">
        <v>46042</v>
      </c>
      <c r="D1907" s="36" t="s">
        <v>1264</v>
      </c>
      <c r="E1907" s="36" t="s">
        <v>264</v>
      </c>
      <c r="F1907" s="36" t="s">
        <v>121</v>
      </c>
      <c r="L1907" s="42">
        <v>-50.5</v>
      </c>
    </row>
    <row r="1908" spans="2:12" ht="14.4" x14ac:dyDescent="0.3">
      <c r="B1908" s="39">
        <v>46043</v>
      </c>
      <c r="D1908" s="36" t="s">
        <v>355</v>
      </c>
      <c r="E1908" s="36" t="s">
        <v>1237</v>
      </c>
      <c r="F1908" s="36" t="s">
        <v>137</v>
      </c>
      <c r="L1908" s="42">
        <v>-100</v>
      </c>
    </row>
    <row r="1909" spans="2:12" ht="14.4" x14ac:dyDescent="0.3">
      <c r="B1909" s="39">
        <v>46043</v>
      </c>
      <c r="D1909" s="36" t="s">
        <v>57</v>
      </c>
      <c r="E1909" s="36" t="s">
        <v>1114</v>
      </c>
      <c r="F1909" s="36" t="s">
        <v>70</v>
      </c>
      <c r="L1909" s="42">
        <v>-34.340000000000003</v>
      </c>
    </row>
    <row r="1910" spans="2:12" ht="14.4" x14ac:dyDescent="0.3">
      <c r="B1910" s="39">
        <v>46043</v>
      </c>
      <c r="D1910" s="36" t="s">
        <v>57</v>
      </c>
      <c r="E1910" s="36" t="s">
        <v>1259</v>
      </c>
      <c r="F1910" s="36" t="s">
        <v>282</v>
      </c>
      <c r="L1910" s="42">
        <v>-20.2</v>
      </c>
    </row>
    <row r="1911" spans="2:12" ht="14.4" x14ac:dyDescent="0.3">
      <c r="B1911" s="39">
        <v>46044</v>
      </c>
      <c r="D1911" s="36" t="s">
        <v>355</v>
      </c>
      <c r="E1911" s="36" t="s">
        <v>1238</v>
      </c>
      <c r="F1911" s="36" t="s">
        <v>137</v>
      </c>
      <c r="L1911" s="42">
        <v>-100</v>
      </c>
    </row>
    <row r="1912" spans="2:12" ht="14.4" x14ac:dyDescent="0.3">
      <c r="B1912" s="39">
        <v>46046</v>
      </c>
      <c r="D1912" s="36" t="s">
        <v>355</v>
      </c>
      <c r="E1912" s="36" t="s">
        <v>1239</v>
      </c>
      <c r="F1912" s="36" t="s">
        <v>137</v>
      </c>
      <c r="L1912" s="42">
        <v>-100</v>
      </c>
    </row>
    <row r="1913" spans="2:12" ht="14.4" x14ac:dyDescent="0.3">
      <c r="B1913" s="39">
        <v>46046</v>
      </c>
      <c r="D1913" s="36" t="s">
        <v>355</v>
      </c>
      <c r="E1913" s="36" t="s">
        <v>1240</v>
      </c>
      <c r="F1913" s="36" t="s">
        <v>137</v>
      </c>
      <c r="L1913" s="42">
        <v>-100</v>
      </c>
    </row>
    <row r="1914" spans="2:12" ht="14.4" x14ac:dyDescent="0.3">
      <c r="B1914" s="39">
        <v>46046</v>
      </c>
      <c r="D1914" s="36" t="s">
        <v>1261</v>
      </c>
      <c r="E1914" s="36" t="s">
        <v>264</v>
      </c>
      <c r="F1914" s="36" t="s">
        <v>121</v>
      </c>
      <c r="L1914" s="42">
        <v>-20.2</v>
      </c>
    </row>
    <row r="1915" spans="2:12" ht="14.4" x14ac:dyDescent="0.3">
      <c r="B1915" s="39">
        <v>46046</v>
      </c>
      <c r="D1915" s="36" t="s">
        <v>1261</v>
      </c>
      <c r="E1915" s="36" t="s">
        <v>264</v>
      </c>
      <c r="F1915" s="36" t="s">
        <v>121</v>
      </c>
      <c r="L1915" s="42">
        <v>-20.2</v>
      </c>
    </row>
    <row r="1916" spans="2:12" ht="14.4" x14ac:dyDescent="0.3">
      <c r="B1916" s="39">
        <v>46046</v>
      </c>
      <c r="D1916" s="36" t="s">
        <v>1261</v>
      </c>
      <c r="E1916" s="36" t="s">
        <v>264</v>
      </c>
      <c r="F1916" s="36" t="s">
        <v>121</v>
      </c>
      <c r="L1916" s="42">
        <v>-20.2</v>
      </c>
    </row>
    <row r="1917" spans="2:12" ht="14.4" x14ac:dyDescent="0.3">
      <c r="B1917" s="39">
        <v>46046</v>
      </c>
      <c r="D1917" s="36" t="s">
        <v>1261</v>
      </c>
      <c r="E1917" s="36" t="s">
        <v>264</v>
      </c>
      <c r="F1917" s="36" t="s">
        <v>121</v>
      </c>
      <c r="L1917" s="42">
        <v>-20.2</v>
      </c>
    </row>
    <row r="1918" spans="2:12" ht="14.4" x14ac:dyDescent="0.3">
      <c r="B1918" s="39">
        <v>46046</v>
      </c>
      <c r="D1918" s="36" t="s">
        <v>1261</v>
      </c>
      <c r="E1918" s="36" t="s">
        <v>264</v>
      </c>
      <c r="F1918" s="36" t="s">
        <v>121</v>
      </c>
      <c r="L1918" s="42">
        <v>-20.2</v>
      </c>
    </row>
    <row r="1919" spans="2:12" ht="14.4" x14ac:dyDescent="0.3">
      <c r="B1919" s="39">
        <v>46046</v>
      </c>
      <c r="D1919" s="36" t="s">
        <v>1261</v>
      </c>
      <c r="E1919" s="36" t="s">
        <v>264</v>
      </c>
      <c r="F1919" s="36" t="s">
        <v>121</v>
      </c>
      <c r="L1919" s="42">
        <v>-20.2</v>
      </c>
    </row>
    <row r="1920" spans="2:12" ht="14.4" x14ac:dyDescent="0.3">
      <c r="B1920" s="39">
        <v>46046</v>
      </c>
      <c r="D1920" s="36" t="s">
        <v>1261</v>
      </c>
      <c r="E1920" s="36" t="s">
        <v>264</v>
      </c>
      <c r="F1920" s="36" t="s">
        <v>121</v>
      </c>
      <c r="L1920" s="42">
        <v>-20.2</v>
      </c>
    </row>
    <row r="1921" spans="2:12" ht="14.4" x14ac:dyDescent="0.3">
      <c r="B1921" s="39">
        <v>46046</v>
      </c>
      <c r="D1921" s="36" t="s">
        <v>1261</v>
      </c>
      <c r="E1921" s="36" t="s">
        <v>264</v>
      </c>
      <c r="F1921" s="36" t="s">
        <v>121</v>
      </c>
      <c r="L1921" s="42">
        <v>-20.2</v>
      </c>
    </row>
    <row r="1922" spans="2:12" ht="14.4" x14ac:dyDescent="0.3">
      <c r="B1922" s="39">
        <v>46046</v>
      </c>
      <c r="D1922" s="36" t="s">
        <v>1261</v>
      </c>
      <c r="E1922" s="36" t="s">
        <v>264</v>
      </c>
      <c r="F1922" s="36" t="s">
        <v>121</v>
      </c>
      <c r="L1922" s="42">
        <v>-20.2</v>
      </c>
    </row>
    <row r="1923" spans="2:12" ht="14.4" x14ac:dyDescent="0.3">
      <c r="B1923" s="39">
        <v>46046</v>
      </c>
      <c r="D1923" s="36" t="s">
        <v>1261</v>
      </c>
      <c r="E1923" s="36" t="s">
        <v>264</v>
      </c>
      <c r="F1923" s="36" t="s">
        <v>121</v>
      </c>
      <c r="L1923" s="42">
        <v>-20.2</v>
      </c>
    </row>
    <row r="1924" spans="2:12" ht="14.4" x14ac:dyDescent="0.3">
      <c r="B1924" s="39">
        <v>46046</v>
      </c>
      <c r="D1924" s="36" t="s">
        <v>57</v>
      </c>
      <c r="E1924" s="36" t="s">
        <v>346</v>
      </c>
      <c r="F1924" s="36" t="s">
        <v>193</v>
      </c>
      <c r="L1924" s="42">
        <v>-52.8</v>
      </c>
    </row>
    <row r="1925" spans="2:12" ht="14.4" x14ac:dyDescent="0.3">
      <c r="B1925" s="39">
        <v>46048</v>
      </c>
      <c r="D1925" s="36" t="s">
        <v>355</v>
      </c>
      <c r="E1925" s="36" t="s">
        <v>1241</v>
      </c>
      <c r="F1925" s="36" t="s">
        <v>137</v>
      </c>
      <c r="L1925" s="42">
        <v>-100</v>
      </c>
    </row>
    <row r="1926" spans="2:12" ht="14.4" x14ac:dyDescent="0.3">
      <c r="B1926" s="39">
        <v>46048</v>
      </c>
      <c r="D1926" s="36" t="s">
        <v>1261</v>
      </c>
      <c r="E1926" s="36" t="s">
        <v>264</v>
      </c>
      <c r="F1926" s="36" t="s">
        <v>121</v>
      </c>
      <c r="L1926" s="42">
        <v>-50.5</v>
      </c>
    </row>
    <row r="1927" spans="2:12" ht="14.4" x14ac:dyDescent="0.3">
      <c r="B1927" s="39">
        <v>46048</v>
      </c>
      <c r="D1927" s="36" t="s">
        <v>1261</v>
      </c>
      <c r="E1927" s="36" t="s">
        <v>264</v>
      </c>
      <c r="F1927" s="36" t="s">
        <v>121</v>
      </c>
      <c r="L1927" s="42">
        <v>-50.5</v>
      </c>
    </row>
    <row r="1928" spans="2:12" ht="14.4" x14ac:dyDescent="0.3">
      <c r="B1928" s="39">
        <v>46048</v>
      </c>
      <c r="D1928" s="36" t="s">
        <v>1261</v>
      </c>
      <c r="E1928" s="36" t="s">
        <v>264</v>
      </c>
      <c r="F1928" s="36" t="s">
        <v>121</v>
      </c>
      <c r="L1928" s="42">
        <v>-50.5</v>
      </c>
    </row>
    <row r="1929" spans="2:12" ht="14.4" x14ac:dyDescent="0.3">
      <c r="B1929" s="39">
        <v>46048</v>
      </c>
      <c r="D1929" s="36" t="s">
        <v>1261</v>
      </c>
      <c r="E1929" s="36" t="s">
        <v>264</v>
      </c>
      <c r="F1929" s="36" t="s">
        <v>121</v>
      </c>
      <c r="L1929" s="42">
        <v>-50.5</v>
      </c>
    </row>
    <row r="1930" spans="2:12" ht="14.4" x14ac:dyDescent="0.3">
      <c r="B1930" s="39">
        <v>46048</v>
      </c>
      <c r="D1930" s="36" t="s">
        <v>1261</v>
      </c>
      <c r="E1930" s="36" t="s">
        <v>264</v>
      </c>
      <c r="F1930" s="36" t="s">
        <v>121</v>
      </c>
      <c r="L1930" s="42">
        <v>-50.5</v>
      </c>
    </row>
    <row r="1931" spans="2:12" ht="14.4" x14ac:dyDescent="0.3">
      <c r="B1931" s="39">
        <v>46048</v>
      </c>
      <c r="D1931" s="36" t="s">
        <v>1261</v>
      </c>
      <c r="E1931" s="36" t="s">
        <v>264</v>
      </c>
      <c r="F1931" s="36" t="s">
        <v>121</v>
      </c>
      <c r="L1931" s="42">
        <v>-50.5</v>
      </c>
    </row>
    <row r="1932" spans="2:12" ht="14.4" x14ac:dyDescent="0.3">
      <c r="B1932" s="39">
        <v>46048</v>
      </c>
      <c r="D1932" s="36" t="s">
        <v>1261</v>
      </c>
      <c r="E1932" s="36" t="s">
        <v>264</v>
      </c>
      <c r="F1932" s="36" t="s">
        <v>121</v>
      </c>
      <c r="L1932" s="42">
        <v>-50.5</v>
      </c>
    </row>
    <row r="1933" spans="2:12" ht="14.4" x14ac:dyDescent="0.3">
      <c r="B1933" s="39">
        <v>46048</v>
      </c>
      <c r="D1933" s="36" t="s">
        <v>1261</v>
      </c>
      <c r="E1933" s="36" t="s">
        <v>264</v>
      </c>
      <c r="F1933" s="36" t="s">
        <v>121</v>
      </c>
      <c r="L1933" s="42">
        <v>-50.5</v>
      </c>
    </row>
    <row r="1934" spans="2:12" ht="14.4" x14ac:dyDescent="0.3">
      <c r="B1934" s="39">
        <v>46048</v>
      </c>
      <c r="D1934" s="36" t="s">
        <v>1261</v>
      </c>
      <c r="E1934" s="36" t="s">
        <v>264</v>
      </c>
      <c r="F1934" s="36" t="s">
        <v>121</v>
      </c>
      <c r="L1934" s="42">
        <v>-50.5</v>
      </c>
    </row>
    <row r="1935" spans="2:12" ht="14.4" x14ac:dyDescent="0.3">
      <c r="B1935" s="39">
        <v>46048</v>
      </c>
      <c r="D1935" s="36" t="s">
        <v>1261</v>
      </c>
      <c r="E1935" s="36" t="s">
        <v>264</v>
      </c>
      <c r="F1935" s="36" t="s">
        <v>121</v>
      </c>
      <c r="L1935" s="42">
        <v>-50.5</v>
      </c>
    </row>
    <row r="1936" spans="2:12" ht="14.4" x14ac:dyDescent="0.3">
      <c r="B1936" s="39">
        <v>46048</v>
      </c>
      <c r="D1936" s="36" t="s">
        <v>1261</v>
      </c>
      <c r="E1936" s="36" t="s">
        <v>264</v>
      </c>
      <c r="F1936" s="36" t="s">
        <v>121</v>
      </c>
      <c r="L1936" s="42">
        <v>-50.5</v>
      </c>
    </row>
    <row r="1937" spans="2:12" ht="14.4" x14ac:dyDescent="0.3">
      <c r="B1937" s="39">
        <v>46048</v>
      </c>
      <c r="D1937" s="36" t="s">
        <v>1261</v>
      </c>
      <c r="E1937" s="36" t="s">
        <v>264</v>
      </c>
      <c r="F1937" s="36" t="s">
        <v>121</v>
      </c>
      <c r="L1937" s="42">
        <v>-50.5</v>
      </c>
    </row>
    <row r="1938" spans="2:12" ht="14.4" x14ac:dyDescent="0.3">
      <c r="B1938" s="39">
        <v>46048</v>
      </c>
      <c r="D1938" s="36" t="s">
        <v>1261</v>
      </c>
      <c r="E1938" s="36" t="s">
        <v>264</v>
      </c>
      <c r="F1938" s="36" t="s">
        <v>121</v>
      </c>
      <c r="L1938" s="42">
        <v>-50.5</v>
      </c>
    </row>
    <row r="1939" spans="2:12" ht="14.4" x14ac:dyDescent="0.3">
      <c r="B1939" s="39">
        <v>46048</v>
      </c>
      <c r="D1939" s="36" t="s">
        <v>1261</v>
      </c>
      <c r="E1939" s="36" t="s">
        <v>264</v>
      </c>
      <c r="F1939" s="36" t="s">
        <v>121</v>
      </c>
      <c r="L1939" s="42">
        <v>-50.5</v>
      </c>
    </row>
    <row r="1940" spans="2:12" ht="14.4" x14ac:dyDescent="0.3">
      <c r="B1940" s="39">
        <v>46048</v>
      </c>
      <c r="D1940" s="36" t="s">
        <v>1261</v>
      </c>
      <c r="E1940" s="36" t="s">
        <v>264</v>
      </c>
      <c r="F1940" s="36" t="s">
        <v>121</v>
      </c>
      <c r="L1940" s="42">
        <v>-50.5</v>
      </c>
    </row>
    <row r="1941" spans="2:12" ht="14.4" x14ac:dyDescent="0.3">
      <c r="B1941" s="39">
        <v>46048</v>
      </c>
      <c r="D1941" s="36" t="s">
        <v>1261</v>
      </c>
      <c r="E1941" s="36" t="s">
        <v>264</v>
      </c>
      <c r="F1941" s="36" t="s">
        <v>121</v>
      </c>
      <c r="L1941" s="42">
        <v>-50.5</v>
      </c>
    </row>
    <row r="1942" spans="2:12" ht="14.4" x14ac:dyDescent="0.3">
      <c r="B1942" s="39">
        <v>46048</v>
      </c>
      <c r="D1942" s="36" t="s">
        <v>1261</v>
      </c>
      <c r="E1942" s="36" t="s">
        <v>264</v>
      </c>
      <c r="F1942" s="36" t="s">
        <v>121</v>
      </c>
      <c r="L1942" s="42">
        <v>-20.2</v>
      </c>
    </row>
    <row r="1943" spans="2:12" ht="14.4" x14ac:dyDescent="0.3">
      <c r="B1943" s="39">
        <v>46048</v>
      </c>
      <c r="D1943" s="36" t="s">
        <v>1261</v>
      </c>
      <c r="E1943" s="36" t="s">
        <v>264</v>
      </c>
      <c r="F1943" s="36" t="s">
        <v>121</v>
      </c>
      <c r="L1943" s="42">
        <v>-20.2</v>
      </c>
    </row>
    <row r="1944" spans="2:12" ht="14.4" x14ac:dyDescent="0.3">
      <c r="B1944" s="39">
        <v>46048</v>
      </c>
      <c r="D1944" s="36" t="s">
        <v>110</v>
      </c>
      <c r="E1944" s="36" t="s">
        <v>311</v>
      </c>
      <c r="F1944" s="36" t="s">
        <v>310</v>
      </c>
      <c r="K1944" s="42">
        <f>-L1944</f>
        <v>-2220.09</v>
      </c>
      <c r="L1944" s="42">
        <v>2220.09</v>
      </c>
    </row>
    <row r="1945" spans="2:12" ht="14.4" x14ac:dyDescent="0.3">
      <c r="B1945" s="39">
        <v>46049</v>
      </c>
      <c r="D1945" s="36" t="s">
        <v>57</v>
      </c>
      <c r="E1945" s="36" t="s">
        <v>1260</v>
      </c>
      <c r="F1945" s="36" t="s">
        <v>282</v>
      </c>
      <c r="L1945" s="42">
        <v>-3.05</v>
      </c>
    </row>
    <row r="1946" spans="2:12" ht="14.4" x14ac:dyDescent="0.3">
      <c r="B1946" s="39">
        <v>46049</v>
      </c>
      <c r="D1946" s="36" t="s">
        <v>1261</v>
      </c>
      <c r="E1946" s="36" t="s">
        <v>264</v>
      </c>
      <c r="F1946" s="36" t="s">
        <v>121</v>
      </c>
      <c r="L1946" s="42">
        <v>-50.5</v>
      </c>
    </row>
    <row r="1947" spans="2:12" ht="14.4" x14ac:dyDescent="0.3">
      <c r="B1947" s="39">
        <v>46049</v>
      </c>
      <c r="D1947" s="36" t="s">
        <v>1261</v>
      </c>
      <c r="E1947" s="36" t="s">
        <v>264</v>
      </c>
      <c r="F1947" s="36" t="s">
        <v>121</v>
      </c>
      <c r="L1947" s="42">
        <v>-50.5</v>
      </c>
    </row>
    <row r="1948" spans="2:12" ht="14.4" x14ac:dyDescent="0.3">
      <c r="B1948" s="39">
        <v>46049</v>
      </c>
      <c r="D1948" s="36" t="s">
        <v>1261</v>
      </c>
      <c r="E1948" s="36" t="s">
        <v>264</v>
      </c>
      <c r="F1948" s="36" t="s">
        <v>121</v>
      </c>
      <c r="L1948" s="42">
        <v>-50.5</v>
      </c>
    </row>
    <row r="1949" spans="2:12" ht="14.4" x14ac:dyDescent="0.3">
      <c r="B1949" s="39">
        <v>46049</v>
      </c>
      <c r="D1949" s="36" t="s">
        <v>1261</v>
      </c>
      <c r="E1949" s="36" t="s">
        <v>264</v>
      </c>
      <c r="F1949" s="36" t="s">
        <v>121</v>
      </c>
      <c r="L1949" s="42">
        <v>-50.5</v>
      </c>
    </row>
    <row r="1950" spans="2:12" ht="14.4" x14ac:dyDescent="0.3">
      <c r="B1950" s="39">
        <v>46049</v>
      </c>
      <c r="D1950" s="36" t="s">
        <v>1261</v>
      </c>
      <c r="E1950" s="36" t="s">
        <v>264</v>
      </c>
      <c r="F1950" s="36" t="s">
        <v>121</v>
      </c>
      <c r="L1950" s="42">
        <v>-50.5</v>
      </c>
    </row>
    <row r="1951" spans="2:12" ht="14.4" x14ac:dyDescent="0.3">
      <c r="B1951" s="39">
        <v>46049</v>
      </c>
      <c r="D1951" s="36" t="s">
        <v>1261</v>
      </c>
      <c r="E1951" s="36" t="s">
        <v>264</v>
      </c>
      <c r="F1951" s="36" t="s">
        <v>121</v>
      </c>
      <c r="L1951" s="42">
        <v>-50.5</v>
      </c>
    </row>
    <row r="1952" spans="2:12" ht="14.4" x14ac:dyDescent="0.3">
      <c r="B1952" s="39">
        <v>46049</v>
      </c>
      <c r="D1952" s="36" t="s">
        <v>1261</v>
      </c>
      <c r="E1952" s="36" t="s">
        <v>264</v>
      </c>
      <c r="F1952" s="36" t="s">
        <v>121</v>
      </c>
      <c r="L1952" s="42">
        <v>-50.5</v>
      </c>
    </row>
    <row r="1953" spans="2:12" ht="14.4" x14ac:dyDescent="0.3">
      <c r="B1953" s="39">
        <v>46049</v>
      </c>
      <c r="D1953" s="36" t="s">
        <v>1261</v>
      </c>
      <c r="E1953" s="36" t="s">
        <v>264</v>
      </c>
      <c r="F1953" s="36" t="s">
        <v>121</v>
      </c>
      <c r="L1953" s="42">
        <v>-50.5</v>
      </c>
    </row>
    <row r="1954" spans="2:12" ht="14.4" x14ac:dyDescent="0.3">
      <c r="B1954" s="39">
        <v>46049</v>
      </c>
      <c r="D1954" s="36" t="s">
        <v>57</v>
      </c>
      <c r="E1954" s="36" t="s">
        <v>948</v>
      </c>
      <c r="F1954" s="36" t="s">
        <v>70</v>
      </c>
      <c r="L1954" s="42">
        <v>-9.9</v>
      </c>
    </row>
    <row r="1955" spans="2:12" ht="14.4" x14ac:dyDescent="0.3">
      <c r="B1955" s="39">
        <v>46050</v>
      </c>
      <c r="D1955" s="36" t="s">
        <v>355</v>
      </c>
      <c r="E1955" s="36" t="s">
        <v>1242</v>
      </c>
      <c r="F1955" s="36" t="s">
        <v>121</v>
      </c>
      <c r="L1955" s="42">
        <v>-100</v>
      </c>
    </row>
    <row r="1956" spans="2:12" ht="14.4" x14ac:dyDescent="0.3">
      <c r="B1956" s="39">
        <v>46050</v>
      </c>
      <c r="D1956" s="36" t="s">
        <v>355</v>
      </c>
      <c r="E1956" s="36" t="s">
        <v>1243</v>
      </c>
      <c r="F1956" s="36" t="s">
        <v>137</v>
      </c>
      <c r="L1956" s="42">
        <v>-100</v>
      </c>
    </row>
    <row r="1957" spans="2:12" ht="14.4" x14ac:dyDescent="0.3">
      <c r="B1957" s="39">
        <v>46050</v>
      </c>
      <c r="D1957" s="36" t="s">
        <v>1261</v>
      </c>
      <c r="E1957" s="36" t="s">
        <v>264</v>
      </c>
      <c r="F1957" s="36" t="s">
        <v>121</v>
      </c>
      <c r="L1957" s="42">
        <v>-101</v>
      </c>
    </row>
    <row r="1958" spans="2:12" ht="14.4" x14ac:dyDescent="0.3">
      <c r="B1958" s="39">
        <v>46050</v>
      </c>
      <c r="D1958" s="36" t="s">
        <v>57</v>
      </c>
      <c r="E1958" s="36" t="s">
        <v>1259</v>
      </c>
      <c r="F1958" s="36" t="s">
        <v>282</v>
      </c>
      <c r="L1958" s="42">
        <v>-41.16</v>
      </c>
    </row>
    <row r="1959" spans="2:12" ht="14.4" x14ac:dyDescent="0.3">
      <c r="B1959" s="39">
        <v>46051</v>
      </c>
      <c r="D1959" s="36" t="s">
        <v>1261</v>
      </c>
      <c r="E1959" s="36" t="s">
        <v>264</v>
      </c>
      <c r="F1959" s="36" t="s">
        <v>121</v>
      </c>
      <c r="L1959" s="42">
        <v>-50.5</v>
      </c>
    </row>
    <row r="1960" spans="2:12" ht="14.4" x14ac:dyDescent="0.3">
      <c r="B1960" s="39">
        <v>46051</v>
      </c>
      <c r="D1960" s="36" t="s">
        <v>1261</v>
      </c>
      <c r="E1960" s="36" t="s">
        <v>264</v>
      </c>
      <c r="F1960" s="36" t="s">
        <v>121</v>
      </c>
      <c r="L1960" s="42">
        <v>-50.5</v>
      </c>
    </row>
    <row r="1961" spans="2:12" ht="14.4" x14ac:dyDescent="0.3">
      <c r="B1961" s="39">
        <v>46051</v>
      </c>
      <c r="D1961" s="36" t="s">
        <v>1261</v>
      </c>
      <c r="E1961" s="36" t="s">
        <v>264</v>
      </c>
      <c r="F1961" s="36" t="s">
        <v>121</v>
      </c>
      <c r="L1961" s="42">
        <v>-50.5</v>
      </c>
    </row>
    <row r="1962" spans="2:12" ht="14.4" x14ac:dyDescent="0.3">
      <c r="B1962" s="39">
        <v>46051</v>
      </c>
      <c r="D1962" s="36" t="s">
        <v>1261</v>
      </c>
      <c r="E1962" s="36" t="s">
        <v>264</v>
      </c>
      <c r="F1962" s="36" t="s">
        <v>121</v>
      </c>
      <c r="L1962" s="42">
        <v>-50.5</v>
      </c>
    </row>
    <row r="1963" spans="2:12" ht="14.4" x14ac:dyDescent="0.3">
      <c r="B1963" s="39">
        <v>46051</v>
      </c>
      <c r="D1963" s="36" t="s">
        <v>1261</v>
      </c>
      <c r="E1963" s="36" t="s">
        <v>264</v>
      </c>
      <c r="F1963" s="36" t="s">
        <v>121</v>
      </c>
      <c r="L1963" s="42">
        <v>-50.5</v>
      </c>
    </row>
    <row r="1964" spans="2:12" ht="14.4" x14ac:dyDescent="0.3">
      <c r="B1964" s="39">
        <v>46051</v>
      </c>
      <c r="D1964" s="36" t="s">
        <v>1261</v>
      </c>
      <c r="E1964" s="36" t="s">
        <v>264</v>
      </c>
      <c r="F1964" s="36" t="s">
        <v>121</v>
      </c>
      <c r="L1964" s="42">
        <v>-50.5</v>
      </c>
    </row>
    <row r="1965" spans="2:12" ht="14.4" x14ac:dyDescent="0.3">
      <c r="B1965" s="39">
        <v>46051</v>
      </c>
      <c r="D1965" s="36" t="s">
        <v>1261</v>
      </c>
      <c r="E1965" s="36" t="s">
        <v>264</v>
      </c>
      <c r="F1965" s="36" t="s">
        <v>121</v>
      </c>
      <c r="L1965" s="42">
        <v>-50.5</v>
      </c>
    </row>
    <row r="1966" spans="2:12" ht="14.4" x14ac:dyDescent="0.3">
      <c r="B1966" s="39">
        <v>46051</v>
      </c>
      <c r="D1966" s="36" t="s">
        <v>1261</v>
      </c>
      <c r="E1966" s="36" t="s">
        <v>264</v>
      </c>
      <c r="F1966" s="36" t="s">
        <v>121</v>
      </c>
      <c r="L1966" s="42">
        <v>-50.5</v>
      </c>
    </row>
    <row r="1967" spans="2:12" ht="14.4" x14ac:dyDescent="0.3">
      <c r="B1967" s="39">
        <v>46051</v>
      </c>
      <c r="D1967" s="36" t="s">
        <v>1261</v>
      </c>
      <c r="E1967" s="36" t="s">
        <v>264</v>
      </c>
      <c r="F1967" s="36" t="s">
        <v>121</v>
      </c>
      <c r="L1967" s="42">
        <v>-50.5</v>
      </c>
    </row>
    <row r="1968" spans="2:12" ht="14.4" x14ac:dyDescent="0.3">
      <c r="B1968" s="39">
        <v>46051</v>
      </c>
      <c r="D1968" s="36" t="s">
        <v>1261</v>
      </c>
      <c r="E1968" s="36" t="s">
        <v>264</v>
      </c>
      <c r="F1968" s="36" t="s">
        <v>121</v>
      </c>
      <c r="L1968" s="42">
        <v>-50.5</v>
      </c>
    </row>
    <row r="1969" spans="2:12" ht="14.4" x14ac:dyDescent="0.3">
      <c r="B1969" s="39">
        <v>46051</v>
      </c>
      <c r="D1969" s="36" t="s">
        <v>1261</v>
      </c>
      <c r="E1969" s="36" t="s">
        <v>264</v>
      </c>
      <c r="F1969" s="36" t="s">
        <v>121</v>
      </c>
      <c r="L1969" s="42">
        <v>-50.5</v>
      </c>
    </row>
    <row r="1970" spans="2:12" ht="14.4" x14ac:dyDescent="0.3">
      <c r="B1970" s="39">
        <v>46051</v>
      </c>
      <c r="D1970" s="36" t="s">
        <v>1261</v>
      </c>
      <c r="E1970" s="36" t="s">
        <v>264</v>
      </c>
      <c r="F1970" s="36" t="s">
        <v>121</v>
      </c>
      <c r="L1970" s="42">
        <v>-50.5</v>
      </c>
    </row>
    <row r="1971" spans="2:12" ht="14.4" x14ac:dyDescent="0.3">
      <c r="B1971" s="39">
        <v>46051</v>
      </c>
      <c r="D1971" s="36" t="s">
        <v>1261</v>
      </c>
      <c r="E1971" s="36" t="s">
        <v>264</v>
      </c>
      <c r="F1971" s="36" t="s">
        <v>121</v>
      </c>
      <c r="L1971" s="42">
        <v>-50.5</v>
      </c>
    </row>
    <row r="1972" spans="2:12" ht="14.4" x14ac:dyDescent="0.3">
      <c r="B1972" s="39">
        <v>46051</v>
      </c>
      <c r="D1972" s="36" t="s">
        <v>1261</v>
      </c>
      <c r="E1972" s="36" t="s">
        <v>264</v>
      </c>
      <c r="F1972" s="36" t="s">
        <v>121</v>
      </c>
      <c r="L1972" s="42">
        <v>-50.5</v>
      </c>
    </row>
    <row r="1973" spans="2:12" ht="14.4" x14ac:dyDescent="0.3">
      <c r="B1973" s="39">
        <v>46051</v>
      </c>
      <c r="D1973" s="36" t="s">
        <v>1261</v>
      </c>
      <c r="E1973" s="36" t="s">
        <v>264</v>
      </c>
      <c r="F1973" s="36" t="s">
        <v>121</v>
      </c>
      <c r="L1973" s="42">
        <v>-50.5</v>
      </c>
    </row>
    <row r="1974" spans="2:12" ht="14.4" x14ac:dyDescent="0.3">
      <c r="B1974" s="39">
        <v>46051</v>
      </c>
      <c r="D1974" s="36" t="s">
        <v>1261</v>
      </c>
      <c r="E1974" s="36" t="s">
        <v>264</v>
      </c>
      <c r="F1974" s="36" t="s">
        <v>121</v>
      </c>
      <c r="L1974" s="42">
        <v>-50.5</v>
      </c>
    </row>
    <row r="1975" spans="2:12" ht="14.4" x14ac:dyDescent="0.3">
      <c r="B1975" s="39">
        <v>46051</v>
      </c>
      <c r="D1975" s="36" t="s">
        <v>57</v>
      </c>
      <c r="E1975" s="36" t="s">
        <v>948</v>
      </c>
      <c r="F1975" s="36" t="s">
        <v>70</v>
      </c>
      <c r="L1975" s="42">
        <v>-23.62</v>
      </c>
    </row>
    <row r="1976" spans="2:12" ht="14.4" x14ac:dyDescent="0.3">
      <c r="B1976" s="39">
        <v>46052</v>
      </c>
      <c r="D1976" s="36" t="s">
        <v>355</v>
      </c>
      <c r="E1976" s="36" t="s">
        <v>1244</v>
      </c>
      <c r="F1976" s="36" t="s">
        <v>137</v>
      </c>
      <c r="L1976" s="42">
        <v>-100</v>
      </c>
    </row>
    <row r="1977" spans="2:12" ht="14.4" x14ac:dyDescent="0.3">
      <c r="B1977" s="39">
        <v>46053</v>
      </c>
      <c r="D1977" s="36" t="s">
        <v>1265</v>
      </c>
      <c r="E1977" s="36" t="s">
        <v>1245</v>
      </c>
      <c r="F1977" s="36" t="s">
        <v>137</v>
      </c>
      <c r="L1977" s="42">
        <v>-561.9</v>
      </c>
    </row>
    <row r="1978" spans="2:12" ht="14.4" x14ac:dyDescent="0.3">
      <c r="B1978" s="39">
        <v>46053</v>
      </c>
      <c r="D1978" s="36" t="s">
        <v>355</v>
      </c>
      <c r="E1978" s="36" t="s">
        <v>1246</v>
      </c>
      <c r="F1978" s="36" t="s">
        <v>137</v>
      </c>
      <c r="L1978" s="42">
        <v>-100</v>
      </c>
    </row>
    <row r="1979" spans="2:12" ht="14.4" x14ac:dyDescent="0.3">
      <c r="B1979" s="39">
        <v>46053</v>
      </c>
      <c r="D1979" s="36" t="s">
        <v>1264</v>
      </c>
      <c r="E1979" s="36" t="s">
        <v>942</v>
      </c>
      <c r="F1979" s="36" t="s">
        <v>953</v>
      </c>
      <c r="L1979" s="42">
        <v>-15.05</v>
      </c>
    </row>
    <row r="1980" spans="2:12" ht="14.4" x14ac:dyDescent="0.3">
      <c r="B1980" s="39">
        <v>46053</v>
      </c>
      <c r="D1980" s="36" t="s">
        <v>1263</v>
      </c>
      <c r="E1980" s="36" t="s">
        <v>1274</v>
      </c>
      <c r="F1980" s="36" t="s">
        <v>524</v>
      </c>
      <c r="K1980" s="42">
        <v>158.69</v>
      </c>
    </row>
    <row r="1981" spans="2:12" ht="14.4" x14ac:dyDescent="0.3">
      <c r="B1981" s="39">
        <v>46053</v>
      </c>
      <c r="D1981" s="36" t="s">
        <v>1261</v>
      </c>
      <c r="E1981" s="36" t="s">
        <v>1274</v>
      </c>
      <c r="F1981" s="36" t="s">
        <v>524</v>
      </c>
      <c r="K1981" s="42">
        <v>36369</v>
      </c>
    </row>
    <row r="1982" spans="2:12" ht="14.4" x14ac:dyDescent="0.3">
      <c r="B1982" s="39">
        <v>46053</v>
      </c>
      <c r="D1982" s="36" t="s">
        <v>355</v>
      </c>
      <c r="E1982" s="36" t="s">
        <v>1274</v>
      </c>
      <c r="F1982" s="36" t="s">
        <v>524</v>
      </c>
      <c r="K1982" s="42">
        <v>5516</v>
      </c>
    </row>
    <row r="1983" spans="2:12" ht="14.4" x14ac:dyDescent="0.3">
      <c r="B1983" s="39">
        <v>46053</v>
      </c>
      <c r="D1983" s="36" t="s">
        <v>1264</v>
      </c>
      <c r="E1983" s="36" t="s">
        <v>1274</v>
      </c>
      <c r="F1983" s="36" t="s">
        <v>524</v>
      </c>
      <c r="K1983" s="42">
        <v>16855</v>
      </c>
    </row>
    <row r="1984" spans="2:12" ht="14.4" x14ac:dyDescent="0.3">
      <c r="B1984" s="39">
        <v>46053</v>
      </c>
      <c r="D1984" s="36" t="s">
        <v>194</v>
      </c>
      <c r="E1984" s="36" t="s">
        <v>1289</v>
      </c>
      <c r="F1984" s="36" t="s">
        <v>524</v>
      </c>
      <c r="H1984" s="42">
        <v>6512</v>
      </c>
    </row>
    <row r="1985" spans="2:12" ht="14.4" x14ac:dyDescent="0.3">
      <c r="B1985" s="39">
        <v>46054</v>
      </c>
      <c r="D1985" s="36" t="s">
        <v>355</v>
      </c>
      <c r="E1985" s="36" t="s">
        <v>1247</v>
      </c>
      <c r="F1985" s="36" t="s">
        <v>137</v>
      </c>
      <c r="L1985" s="42">
        <v>-100</v>
      </c>
    </row>
    <row r="1986" spans="2:12" ht="14.4" x14ac:dyDescent="0.3">
      <c r="B1986" s="39">
        <v>46054</v>
      </c>
      <c r="D1986" s="36" t="s">
        <v>57</v>
      </c>
      <c r="E1986" s="36" t="s">
        <v>1259</v>
      </c>
      <c r="F1986" s="36" t="s">
        <v>282</v>
      </c>
      <c r="L1986" s="42">
        <v>-60.61</v>
      </c>
    </row>
    <row r="1987" spans="2:12" ht="14.4" x14ac:dyDescent="0.3">
      <c r="B1987" s="39">
        <v>46055</v>
      </c>
      <c r="D1987" s="36" t="s">
        <v>1265</v>
      </c>
      <c r="E1987" s="36" t="s">
        <v>1248</v>
      </c>
      <c r="F1987" s="36" t="s">
        <v>137</v>
      </c>
      <c r="L1987" s="42">
        <v>-69.73</v>
      </c>
    </row>
    <row r="1988" spans="2:12" ht="14.4" x14ac:dyDescent="0.3">
      <c r="B1988" s="39">
        <v>46055</v>
      </c>
      <c r="D1988" s="36" t="s">
        <v>355</v>
      </c>
      <c r="E1988" s="36" t="s">
        <v>1249</v>
      </c>
      <c r="F1988" s="36" t="s">
        <v>137</v>
      </c>
      <c r="L1988" s="42">
        <v>-100</v>
      </c>
    </row>
    <row r="1989" spans="2:12" ht="14.4" x14ac:dyDescent="0.3">
      <c r="B1989" s="39">
        <v>46055</v>
      </c>
      <c r="D1989" s="36" t="s">
        <v>57</v>
      </c>
      <c r="E1989" s="36" t="s">
        <v>942</v>
      </c>
      <c r="F1989" s="36" t="s">
        <v>953</v>
      </c>
      <c r="L1989" s="42">
        <v>-38.28</v>
      </c>
    </row>
    <row r="1990" spans="2:12" ht="14.4" x14ac:dyDescent="0.3">
      <c r="B1990" s="39">
        <v>46056</v>
      </c>
      <c r="D1990" s="36" t="s">
        <v>57</v>
      </c>
      <c r="E1990" s="36" t="s">
        <v>312</v>
      </c>
      <c r="F1990" s="36" t="s">
        <v>115</v>
      </c>
      <c r="L1990" s="42">
        <v>-50.5</v>
      </c>
    </row>
    <row r="1991" spans="2:12" ht="14.4" x14ac:dyDescent="0.3">
      <c r="B1991" s="39">
        <v>46056</v>
      </c>
      <c r="D1991" s="36" t="s">
        <v>57</v>
      </c>
      <c r="E1991" s="36" t="s">
        <v>312</v>
      </c>
      <c r="F1991" s="36" t="s">
        <v>115</v>
      </c>
      <c r="L1991" s="42">
        <v>-20.2</v>
      </c>
    </row>
    <row r="1992" spans="2:12" ht="14.4" x14ac:dyDescent="0.3">
      <c r="B1992" s="39">
        <v>46078</v>
      </c>
      <c r="D1992" s="36" t="s">
        <v>1261</v>
      </c>
      <c r="E1992" s="36" t="s">
        <v>1329</v>
      </c>
      <c r="F1992" s="36" t="s">
        <v>524</v>
      </c>
      <c r="K1992" s="42">
        <v>10358</v>
      </c>
    </row>
    <row r="1993" spans="2:12" ht="14.4" x14ac:dyDescent="0.3">
      <c r="B1993" s="39">
        <v>46078</v>
      </c>
      <c r="D1993" s="36" t="s">
        <v>355</v>
      </c>
      <c r="E1993" s="36" t="s">
        <v>1329</v>
      </c>
      <c r="F1993" s="36" t="s">
        <v>524</v>
      </c>
      <c r="K1993" s="42">
        <v>2064</v>
      </c>
    </row>
    <row r="1994" spans="2:12" ht="14.4" x14ac:dyDescent="0.3">
      <c r="B1994" s="39">
        <v>46056</v>
      </c>
      <c r="D1994" s="36" t="s">
        <v>355</v>
      </c>
      <c r="E1994" s="36" t="s">
        <v>1290</v>
      </c>
      <c r="F1994" s="36" t="s">
        <v>137</v>
      </c>
      <c r="L1994" s="42">
        <v>-47.68</v>
      </c>
    </row>
    <row r="1995" spans="2:12" ht="14.4" x14ac:dyDescent="0.3">
      <c r="B1995" s="39">
        <v>46057</v>
      </c>
      <c r="D1995" s="36" t="s">
        <v>57</v>
      </c>
      <c r="E1995" s="36" t="s">
        <v>471</v>
      </c>
      <c r="F1995" s="36" t="s">
        <v>330</v>
      </c>
      <c r="L1995" s="42">
        <v>-4617.5200000000004</v>
      </c>
    </row>
    <row r="1996" spans="2:12" ht="14.4" x14ac:dyDescent="0.3">
      <c r="B1996" s="39">
        <v>46057</v>
      </c>
      <c r="D1996" s="36" t="s">
        <v>110</v>
      </c>
      <c r="E1996" s="36" t="s">
        <v>311</v>
      </c>
      <c r="F1996" s="36" t="s">
        <v>310</v>
      </c>
      <c r="K1996" s="42">
        <f>-L1996</f>
        <v>-12997</v>
      </c>
      <c r="L1996" s="42">
        <v>12997</v>
      </c>
    </row>
    <row r="1997" spans="2:12" ht="14.4" x14ac:dyDescent="0.3">
      <c r="B1997" s="39">
        <v>46057</v>
      </c>
      <c r="D1997" s="36" t="s">
        <v>1265</v>
      </c>
      <c r="E1997" s="36" t="s">
        <v>1291</v>
      </c>
      <c r="F1997" s="36" t="s">
        <v>137</v>
      </c>
      <c r="L1997" s="42">
        <v>-441.5</v>
      </c>
    </row>
    <row r="1998" spans="2:12" ht="14.4" x14ac:dyDescent="0.3">
      <c r="B1998" s="39">
        <v>46057</v>
      </c>
      <c r="D1998" s="36" t="s">
        <v>355</v>
      </c>
      <c r="E1998" s="36" t="s">
        <v>1292</v>
      </c>
      <c r="F1998" s="36" t="s">
        <v>137</v>
      </c>
      <c r="L1998" s="42">
        <v>-100</v>
      </c>
    </row>
    <row r="1999" spans="2:12" ht="14.4" x14ac:dyDescent="0.3">
      <c r="B1999" s="39">
        <v>46057</v>
      </c>
      <c r="D1999" s="36" t="s">
        <v>57</v>
      </c>
      <c r="E1999" s="36" t="s">
        <v>341</v>
      </c>
      <c r="F1999" s="36" t="s">
        <v>200</v>
      </c>
      <c r="L1999" s="42">
        <v>-39.39</v>
      </c>
    </row>
    <row r="2000" spans="2:12" ht="14.4" x14ac:dyDescent="0.3">
      <c r="B2000" s="39">
        <v>46058</v>
      </c>
      <c r="D2000" s="36" t="s">
        <v>57</v>
      </c>
      <c r="E2000" s="36" t="s">
        <v>1110</v>
      </c>
      <c r="F2000" s="36" t="s">
        <v>781</v>
      </c>
      <c r="L2000" s="42">
        <v>-100.78</v>
      </c>
    </row>
    <row r="2001" spans="2:12" ht="14.4" x14ac:dyDescent="0.3">
      <c r="B2001" s="39">
        <v>46058</v>
      </c>
      <c r="D2001" s="36" t="s">
        <v>355</v>
      </c>
      <c r="E2001" s="36" t="s">
        <v>1293</v>
      </c>
      <c r="F2001" s="36" t="s">
        <v>137</v>
      </c>
      <c r="L2001" s="42">
        <v>-100</v>
      </c>
    </row>
    <row r="2002" spans="2:12" ht="14.4" x14ac:dyDescent="0.3">
      <c r="B2002" s="39">
        <v>46060</v>
      </c>
      <c r="D2002" s="36" t="s">
        <v>355</v>
      </c>
      <c r="E2002" s="36" t="s">
        <v>1294</v>
      </c>
      <c r="F2002" s="36" t="s">
        <v>137</v>
      </c>
      <c r="L2002" s="42">
        <v>-100</v>
      </c>
    </row>
    <row r="2003" spans="2:12" ht="14.4" x14ac:dyDescent="0.3">
      <c r="B2003" s="39">
        <v>46060</v>
      </c>
      <c r="D2003" s="36" t="s">
        <v>1261</v>
      </c>
      <c r="E2003" s="36" t="s">
        <v>264</v>
      </c>
      <c r="F2003" s="36" t="s">
        <v>121</v>
      </c>
      <c r="L2003" s="42">
        <v>-532.78</v>
      </c>
    </row>
    <row r="2004" spans="2:12" ht="14.4" x14ac:dyDescent="0.3">
      <c r="B2004" s="39">
        <v>46060</v>
      </c>
      <c r="D2004" s="36" t="s">
        <v>57</v>
      </c>
      <c r="E2004" s="36" t="s">
        <v>948</v>
      </c>
      <c r="F2004" s="36" t="s">
        <v>70</v>
      </c>
      <c r="L2004" s="42">
        <v>-15.59</v>
      </c>
    </row>
    <row r="2005" spans="2:12" ht="14.4" x14ac:dyDescent="0.3">
      <c r="B2005" s="39">
        <v>46061</v>
      </c>
      <c r="D2005" s="36" t="s">
        <v>355</v>
      </c>
      <c r="E2005" s="36" t="s">
        <v>1295</v>
      </c>
      <c r="F2005" s="36" t="s">
        <v>137</v>
      </c>
      <c r="L2005" s="42">
        <v>-100</v>
      </c>
    </row>
    <row r="2006" spans="2:12" ht="14.4" x14ac:dyDescent="0.3">
      <c r="B2006" s="39">
        <v>46061</v>
      </c>
      <c r="D2006" s="36" t="s">
        <v>1265</v>
      </c>
      <c r="E2006" s="36" t="s">
        <v>1296</v>
      </c>
      <c r="F2006" s="36" t="s">
        <v>137</v>
      </c>
      <c r="L2006" s="42">
        <v>-909</v>
      </c>
    </row>
    <row r="2007" spans="2:12" ht="14.4" x14ac:dyDescent="0.3">
      <c r="B2007" s="39">
        <v>46062</v>
      </c>
      <c r="D2007" s="36" t="s">
        <v>57</v>
      </c>
      <c r="E2007" s="36" t="s">
        <v>257</v>
      </c>
      <c r="F2007" s="36" t="s">
        <v>131</v>
      </c>
      <c r="L2007" s="42">
        <v>-38.380000000000003</v>
      </c>
    </row>
    <row r="2008" spans="2:12" ht="14.4" x14ac:dyDescent="0.3">
      <c r="B2008" s="39">
        <v>46062</v>
      </c>
      <c r="D2008" s="36" t="s">
        <v>57</v>
      </c>
      <c r="E2008" s="36" t="s">
        <v>1114</v>
      </c>
      <c r="F2008" s="36" t="s">
        <v>70</v>
      </c>
      <c r="L2008" s="42">
        <v>-16.239999999999998</v>
      </c>
    </row>
    <row r="2009" spans="2:12" ht="14.4" x14ac:dyDescent="0.3">
      <c r="B2009" s="39">
        <v>46062</v>
      </c>
      <c r="D2009" s="36" t="s">
        <v>57</v>
      </c>
      <c r="E2009" s="36" t="s">
        <v>948</v>
      </c>
      <c r="F2009" s="36" t="s">
        <v>70</v>
      </c>
      <c r="L2009" s="42">
        <v>-67.540000000000006</v>
      </c>
    </row>
    <row r="2010" spans="2:12" ht="14.4" x14ac:dyDescent="0.3">
      <c r="B2010" s="39">
        <v>46063</v>
      </c>
      <c r="D2010" s="36" t="s">
        <v>355</v>
      </c>
      <c r="E2010" s="36" t="s">
        <v>1297</v>
      </c>
      <c r="F2010" s="36" t="s">
        <v>137</v>
      </c>
      <c r="L2010" s="42">
        <v>-100</v>
      </c>
    </row>
    <row r="2011" spans="2:12" ht="14.4" x14ac:dyDescent="0.3">
      <c r="B2011" s="39">
        <v>46064</v>
      </c>
      <c r="D2011" s="36" t="s">
        <v>57</v>
      </c>
      <c r="E2011" s="36" t="s">
        <v>1254</v>
      </c>
      <c r="F2011" s="36" t="s">
        <v>952</v>
      </c>
      <c r="L2011" s="42">
        <v>-16.93</v>
      </c>
    </row>
    <row r="2012" spans="2:12" ht="14.4" x14ac:dyDescent="0.3">
      <c r="B2012" s="39">
        <v>46064</v>
      </c>
      <c r="D2012" s="36" t="s">
        <v>1264</v>
      </c>
      <c r="E2012" s="36" t="s">
        <v>1256</v>
      </c>
      <c r="F2012" s="36" t="s">
        <v>1325</v>
      </c>
      <c r="L2012" s="42">
        <v>-25.25</v>
      </c>
    </row>
    <row r="2013" spans="2:12" ht="14.4" x14ac:dyDescent="0.3">
      <c r="B2013" s="39">
        <v>46064</v>
      </c>
      <c r="D2013" s="36" t="s">
        <v>57</v>
      </c>
      <c r="E2013" s="36" t="s">
        <v>1114</v>
      </c>
      <c r="F2013" s="36" t="s">
        <v>70</v>
      </c>
      <c r="L2013" s="42">
        <v>-37.770000000000003</v>
      </c>
    </row>
    <row r="2014" spans="2:12" ht="14.4" x14ac:dyDescent="0.3">
      <c r="B2014" s="39">
        <v>46064</v>
      </c>
      <c r="D2014" s="36" t="s">
        <v>57</v>
      </c>
      <c r="E2014" s="36" t="s">
        <v>769</v>
      </c>
      <c r="F2014" s="36" t="s">
        <v>780</v>
      </c>
      <c r="L2014" s="42">
        <v>-31.71</v>
      </c>
    </row>
    <row r="2015" spans="2:12" ht="14.4" x14ac:dyDescent="0.3">
      <c r="B2015" s="39">
        <v>46065</v>
      </c>
      <c r="D2015" s="36" t="s">
        <v>355</v>
      </c>
      <c r="E2015" s="36" t="s">
        <v>1298</v>
      </c>
      <c r="F2015" s="36" t="s">
        <v>137</v>
      </c>
      <c r="L2015" s="42">
        <v>-100</v>
      </c>
    </row>
    <row r="2016" spans="2:12" ht="14.4" x14ac:dyDescent="0.3">
      <c r="B2016" s="39">
        <v>46065</v>
      </c>
      <c r="D2016" s="36" t="s">
        <v>1265</v>
      </c>
      <c r="E2016" s="36" t="s">
        <v>1299</v>
      </c>
      <c r="F2016" s="36" t="s">
        <v>137</v>
      </c>
      <c r="L2016" s="42">
        <v>-909</v>
      </c>
    </row>
    <row r="2017" spans="2:12" ht="14.4" x14ac:dyDescent="0.3">
      <c r="B2017" s="39">
        <v>46065</v>
      </c>
      <c r="D2017" s="36" t="s">
        <v>57</v>
      </c>
      <c r="E2017" s="36" t="s">
        <v>281</v>
      </c>
      <c r="F2017" s="36" t="s">
        <v>282</v>
      </c>
      <c r="L2017" s="42">
        <v>-20.2</v>
      </c>
    </row>
    <row r="2018" spans="2:12" ht="14.4" x14ac:dyDescent="0.3">
      <c r="B2018" s="39">
        <v>46068</v>
      </c>
      <c r="D2018" s="36" t="s">
        <v>57</v>
      </c>
      <c r="E2018" s="36" t="s">
        <v>1300</v>
      </c>
      <c r="F2018" s="36" t="s">
        <v>1327</v>
      </c>
      <c r="L2018" s="42">
        <v>-33.89</v>
      </c>
    </row>
    <row r="2019" spans="2:12" ht="14.4" x14ac:dyDescent="0.3">
      <c r="B2019" s="39">
        <v>46068</v>
      </c>
      <c r="D2019" s="36" t="s">
        <v>57</v>
      </c>
      <c r="E2019" s="36" t="s">
        <v>1301</v>
      </c>
      <c r="F2019" s="36" t="s">
        <v>1278</v>
      </c>
      <c r="L2019" s="42">
        <v>-48.43</v>
      </c>
    </row>
    <row r="2020" spans="2:12" ht="14.4" x14ac:dyDescent="0.3">
      <c r="B2020" s="39">
        <v>46068</v>
      </c>
      <c r="D2020" s="36" t="s">
        <v>355</v>
      </c>
      <c r="E2020" s="36" t="s">
        <v>1302</v>
      </c>
      <c r="F2020" s="36" t="s">
        <v>137</v>
      </c>
      <c r="L2020" s="42">
        <v>-100</v>
      </c>
    </row>
    <row r="2021" spans="2:12" ht="14.4" x14ac:dyDescent="0.3">
      <c r="B2021" s="39">
        <v>46068</v>
      </c>
      <c r="D2021" s="36" t="s">
        <v>57</v>
      </c>
      <c r="E2021" s="36" t="s">
        <v>1303</v>
      </c>
      <c r="F2021" s="36" t="s">
        <v>282</v>
      </c>
      <c r="L2021" s="42">
        <v>-31.1</v>
      </c>
    </row>
    <row r="2022" spans="2:12" ht="14.4" x14ac:dyDescent="0.3">
      <c r="B2022" s="39">
        <v>46069</v>
      </c>
      <c r="D2022" s="36" t="s">
        <v>1265</v>
      </c>
      <c r="E2022" s="36" t="s">
        <v>1304</v>
      </c>
      <c r="F2022" s="36" t="s">
        <v>137</v>
      </c>
      <c r="L2022" s="42">
        <v>-141.4</v>
      </c>
    </row>
    <row r="2023" spans="2:12" ht="14.4" x14ac:dyDescent="0.3">
      <c r="B2023" s="39">
        <v>46069</v>
      </c>
      <c r="D2023" s="36" t="s">
        <v>355</v>
      </c>
      <c r="E2023" s="36" t="s">
        <v>1305</v>
      </c>
      <c r="F2023" s="36" t="s">
        <v>137</v>
      </c>
      <c r="L2023" s="42">
        <v>-100</v>
      </c>
    </row>
    <row r="2024" spans="2:12" ht="14.4" x14ac:dyDescent="0.3">
      <c r="B2024" s="39">
        <v>46069</v>
      </c>
      <c r="D2024" s="36" t="s">
        <v>57</v>
      </c>
      <c r="E2024" s="36" t="s">
        <v>1306</v>
      </c>
      <c r="F2024" s="36" t="s">
        <v>1278</v>
      </c>
      <c r="L2024" s="42">
        <v>-196.6</v>
      </c>
    </row>
    <row r="2025" spans="2:12" ht="14.4" x14ac:dyDescent="0.3">
      <c r="B2025" s="39">
        <v>46069</v>
      </c>
      <c r="D2025" s="36" t="s">
        <v>57</v>
      </c>
      <c r="E2025" s="36" t="s">
        <v>1307</v>
      </c>
      <c r="F2025" s="36" t="s">
        <v>1278</v>
      </c>
      <c r="L2025" s="42">
        <v>-176.92</v>
      </c>
    </row>
    <row r="2026" spans="2:12" ht="14.4" x14ac:dyDescent="0.3">
      <c r="B2026" s="39">
        <v>46070</v>
      </c>
      <c r="D2026" s="36" t="s">
        <v>57</v>
      </c>
      <c r="E2026" s="36" t="s">
        <v>300</v>
      </c>
      <c r="F2026" s="36" t="s">
        <v>347</v>
      </c>
      <c r="L2026" s="42">
        <v>-53.92</v>
      </c>
    </row>
    <row r="2027" spans="2:12" ht="14.4" x14ac:dyDescent="0.3">
      <c r="B2027" s="39">
        <v>46070</v>
      </c>
      <c r="D2027" s="36" t="s">
        <v>355</v>
      </c>
      <c r="E2027" s="36" t="s">
        <v>1308</v>
      </c>
      <c r="F2027" s="36" t="s">
        <v>137</v>
      </c>
      <c r="L2027" s="42">
        <v>-100</v>
      </c>
    </row>
    <row r="2028" spans="2:12" ht="14.4" x14ac:dyDescent="0.3">
      <c r="B2028" s="39">
        <v>46070</v>
      </c>
      <c r="D2028" s="36" t="s">
        <v>57</v>
      </c>
      <c r="E2028" s="36" t="s">
        <v>1301</v>
      </c>
      <c r="F2028" s="36" t="s">
        <v>1278</v>
      </c>
      <c r="L2028" s="42">
        <v>-108.44</v>
      </c>
    </row>
    <row r="2029" spans="2:12" ht="14.4" x14ac:dyDescent="0.3">
      <c r="B2029" s="39">
        <v>46070</v>
      </c>
      <c r="D2029" s="36" t="s">
        <v>57</v>
      </c>
      <c r="E2029" s="36" t="s">
        <v>1300</v>
      </c>
      <c r="F2029" s="36" t="s">
        <v>1327</v>
      </c>
      <c r="L2029" s="42">
        <v>-34.01</v>
      </c>
    </row>
    <row r="2030" spans="2:12" ht="14.4" x14ac:dyDescent="0.3">
      <c r="B2030" s="39">
        <v>46070</v>
      </c>
      <c r="D2030" s="36" t="s">
        <v>57</v>
      </c>
      <c r="E2030" s="36" t="s">
        <v>1309</v>
      </c>
      <c r="F2030" s="36" t="s">
        <v>1327</v>
      </c>
      <c r="L2030" s="42">
        <v>-32.33</v>
      </c>
    </row>
    <row r="2031" spans="2:12" ht="14.4" x14ac:dyDescent="0.3">
      <c r="B2031" s="39">
        <v>46071</v>
      </c>
      <c r="D2031" s="36" t="s">
        <v>355</v>
      </c>
      <c r="E2031" s="36" t="s">
        <v>1310</v>
      </c>
      <c r="F2031" s="36" t="s">
        <v>137</v>
      </c>
      <c r="L2031" s="42">
        <v>-100</v>
      </c>
    </row>
    <row r="2032" spans="2:12" ht="14.4" x14ac:dyDescent="0.3">
      <c r="B2032" s="39">
        <v>46071</v>
      </c>
      <c r="D2032" s="36" t="s">
        <v>1265</v>
      </c>
      <c r="E2032" s="36" t="s">
        <v>1311</v>
      </c>
      <c r="F2032" s="36" t="s">
        <v>1281</v>
      </c>
      <c r="L2032" s="42">
        <v>995</v>
      </c>
    </row>
    <row r="2033" spans="2:12" ht="14.4" x14ac:dyDescent="0.3">
      <c r="B2033" s="39">
        <v>46071</v>
      </c>
      <c r="D2033" s="36" t="s">
        <v>110</v>
      </c>
      <c r="E2033" s="36" t="s">
        <v>311</v>
      </c>
      <c r="F2033" s="36" t="s">
        <v>310</v>
      </c>
      <c r="K2033" s="42">
        <f>-L2033</f>
        <v>-49487</v>
      </c>
      <c r="L2033" s="42">
        <v>49487</v>
      </c>
    </row>
    <row r="2034" spans="2:12" ht="14.4" x14ac:dyDescent="0.3">
      <c r="B2034" s="39">
        <v>46071</v>
      </c>
      <c r="D2034" s="36" t="s">
        <v>1265</v>
      </c>
      <c r="E2034" s="36" t="s">
        <v>1312</v>
      </c>
      <c r="F2034" s="36" t="s">
        <v>137</v>
      </c>
      <c r="L2034" s="42">
        <v>-828.54</v>
      </c>
    </row>
    <row r="2035" spans="2:12" ht="14.4" x14ac:dyDescent="0.3">
      <c r="B2035" s="39">
        <v>46071</v>
      </c>
      <c r="D2035" s="36" t="s">
        <v>57</v>
      </c>
      <c r="E2035" s="36" t="s">
        <v>1300</v>
      </c>
      <c r="F2035" s="36" t="s">
        <v>1327</v>
      </c>
      <c r="L2035" s="42">
        <v>-34.01</v>
      </c>
    </row>
    <row r="2036" spans="2:12" ht="14.4" x14ac:dyDescent="0.3">
      <c r="B2036" s="39">
        <v>46071</v>
      </c>
      <c r="D2036" s="36" t="s">
        <v>57</v>
      </c>
      <c r="E2036" s="36" t="s">
        <v>1313</v>
      </c>
      <c r="F2036" s="36" t="s">
        <v>1278</v>
      </c>
      <c r="L2036" s="42">
        <v>-29.19</v>
      </c>
    </row>
    <row r="2037" spans="2:12" ht="14.4" x14ac:dyDescent="0.3">
      <c r="B2037" s="39">
        <v>46071</v>
      </c>
      <c r="D2037" s="36" t="s">
        <v>57</v>
      </c>
      <c r="E2037" s="36" t="s">
        <v>1314</v>
      </c>
      <c r="F2037" s="36" t="s">
        <v>1278</v>
      </c>
      <c r="L2037" s="42">
        <v>-27.43</v>
      </c>
    </row>
    <row r="2038" spans="2:12" ht="14.4" x14ac:dyDescent="0.3">
      <c r="B2038" s="39">
        <v>46072</v>
      </c>
      <c r="D2038" s="36" t="s">
        <v>355</v>
      </c>
      <c r="E2038" s="36" t="s">
        <v>1315</v>
      </c>
      <c r="F2038" s="36" t="s">
        <v>137</v>
      </c>
      <c r="L2038" s="42">
        <v>-100</v>
      </c>
    </row>
    <row r="2039" spans="2:12" ht="14.4" x14ac:dyDescent="0.3">
      <c r="B2039" s="39">
        <v>46072</v>
      </c>
      <c r="D2039" s="36" t="s">
        <v>57</v>
      </c>
      <c r="E2039" s="36" t="s">
        <v>1300</v>
      </c>
      <c r="F2039" s="36" t="s">
        <v>1327</v>
      </c>
      <c r="L2039" s="42">
        <v>-55.08</v>
      </c>
    </row>
    <row r="2040" spans="2:12" ht="14.4" x14ac:dyDescent="0.3">
      <c r="B2040" s="39">
        <v>46072</v>
      </c>
      <c r="D2040" s="36" t="s">
        <v>57</v>
      </c>
      <c r="E2040" s="36" t="s">
        <v>1314</v>
      </c>
      <c r="F2040" s="36" t="s">
        <v>1278</v>
      </c>
      <c r="L2040" s="42">
        <v>-20.69</v>
      </c>
    </row>
    <row r="2041" spans="2:12" ht="14.4" x14ac:dyDescent="0.3">
      <c r="B2041" s="39">
        <v>46072</v>
      </c>
      <c r="D2041" s="36" t="s">
        <v>57</v>
      </c>
      <c r="E2041" s="36" t="s">
        <v>1300</v>
      </c>
      <c r="F2041" s="36" t="s">
        <v>1327</v>
      </c>
      <c r="L2041" s="42">
        <v>-13.67</v>
      </c>
    </row>
    <row r="2042" spans="2:12" ht="14.4" x14ac:dyDescent="0.3">
      <c r="B2042" s="39">
        <v>46073</v>
      </c>
      <c r="D2042" s="36" t="s">
        <v>1264</v>
      </c>
      <c r="E2042" s="36" t="s">
        <v>1316</v>
      </c>
      <c r="F2042" s="36" t="s">
        <v>1328</v>
      </c>
      <c r="L2042" s="42">
        <v>-2319.14</v>
      </c>
    </row>
    <row r="2043" spans="2:12" ht="14.4" x14ac:dyDescent="0.3">
      <c r="B2043" s="39">
        <v>46073</v>
      </c>
      <c r="D2043" s="36" t="s">
        <v>57</v>
      </c>
      <c r="E2043" s="36" t="s">
        <v>1114</v>
      </c>
      <c r="F2043" s="36" t="s">
        <v>70</v>
      </c>
      <c r="L2043" s="42">
        <v>-11.27</v>
      </c>
    </row>
    <row r="2044" spans="2:12" ht="14.4" x14ac:dyDescent="0.3">
      <c r="B2044" s="39">
        <v>46073</v>
      </c>
      <c r="D2044" s="36" t="s">
        <v>57</v>
      </c>
      <c r="E2044" s="36" t="s">
        <v>1114</v>
      </c>
      <c r="F2044" s="36" t="s">
        <v>70</v>
      </c>
      <c r="L2044" s="42">
        <v>-10.66</v>
      </c>
    </row>
    <row r="2045" spans="2:12" ht="14.4" x14ac:dyDescent="0.3">
      <c r="B2045" s="39">
        <v>46074</v>
      </c>
      <c r="D2045" s="36" t="s">
        <v>355</v>
      </c>
      <c r="E2045" s="36" t="s">
        <v>1317</v>
      </c>
      <c r="F2045" s="36" t="s">
        <v>137</v>
      </c>
      <c r="L2045" s="42">
        <v>-49.44</v>
      </c>
    </row>
    <row r="2046" spans="2:12" ht="14.4" x14ac:dyDescent="0.3">
      <c r="B2046" s="39">
        <v>46074</v>
      </c>
      <c r="D2046" s="36" t="s">
        <v>57</v>
      </c>
      <c r="E2046" s="36" t="s">
        <v>1309</v>
      </c>
      <c r="F2046" s="36" t="s">
        <v>1327</v>
      </c>
      <c r="L2046" s="42">
        <v>-40.770000000000003</v>
      </c>
    </row>
    <row r="2047" spans="2:12" ht="14.4" x14ac:dyDescent="0.3">
      <c r="B2047" s="39">
        <v>46074</v>
      </c>
      <c r="D2047" s="36" t="s">
        <v>57</v>
      </c>
      <c r="E2047" s="36" t="s">
        <v>1300</v>
      </c>
      <c r="F2047" s="36" t="s">
        <v>1327</v>
      </c>
      <c r="L2047" s="42">
        <v>-33.61</v>
      </c>
    </row>
    <row r="2048" spans="2:12" ht="14.4" x14ac:dyDescent="0.3">
      <c r="B2048" s="39">
        <v>46074</v>
      </c>
      <c r="D2048" s="36" t="s">
        <v>355</v>
      </c>
      <c r="E2048" s="36" t="s">
        <v>1318</v>
      </c>
      <c r="F2048" s="36" t="s">
        <v>137</v>
      </c>
      <c r="L2048" s="42">
        <v>-100</v>
      </c>
    </row>
    <row r="2049" spans="2:12" ht="14.4" x14ac:dyDescent="0.3">
      <c r="B2049" s="39">
        <v>46074</v>
      </c>
      <c r="D2049" s="36" t="s">
        <v>57</v>
      </c>
      <c r="E2049" s="36" t="s">
        <v>1319</v>
      </c>
      <c r="F2049" s="36" t="s">
        <v>1326</v>
      </c>
      <c r="L2049" s="42">
        <v>-39.380000000000003</v>
      </c>
    </row>
    <row r="2050" spans="2:12" ht="14.4" x14ac:dyDescent="0.3">
      <c r="B2050" s="39">
        <v>46075</v>
      </c>
      <c r="D2050" s="36" t="s">
        <v>355</v>
      </c>
      <c r="E2050" s="36" t="s">
        <v>1320</v>
      </c>
      <c r="F2050" s="36" t="s">
        <v>137</v>
      </c>
      <c r="L2050" s="42">
        <v>-40.799999999999997</v>
      </c>
    </row>
    <row r="2051" spans="2:12" ht="14.4" x14ac:dyDescent="0.3">
      <c r="B2051" s="39">
        <v>46075</v>
      </c>
      <c r="D2051" s="36" t="s">
        <v>355</v>
      </c>
      <c r="E2051" s="36" t="s">
        <v>1321</v>
      </c>
      <c r="F2051" s="36" t="s">
        <v>137</v>
      </c>
      <c r="L2051" s="42">
        <v>-1.52</v>
      </c>
    </row>
    <row r="2052" spans="2:12" ht="14.4" x14ac:dyDescent="0.3">
      <c r="B2052" s="39">
        <v>46075</v>
      </c>
      <c r="D2052" s="36" t="s">
        <v>57</v>
      </c>
      <c r="E2052" s="36" t="s">
        <v>1322</v>
      </c>
      <c r="F2052" s="36" t="s">
        <v>1278</v>
      </c>
      <c r="L2052" s="42">
        <v>-131.63</v>
      </c>
    </row>
    <row r="2053" spans="2:12" ht="14.4" x14ac:dyDescent="0.3">
      <c r="B2053" s="39">
        <v>46076</v>
      </c>
      <c r="D2053" s="49" t="s">
        <v>57</v>
      </c>
      <c r="E2053" s="36" t="s">
        <v>1013</v>
      </c>
      <c r="F2053" s="36" t="s">
        <v>282</v>
      </c>
      <c r="L2053" s="42">
        <v>-64.72</v>
      </c>
    </row>
    <row r="2054" spans="2:12" ht="14.4" x14ac:dyDescent="0.3">
      <c r="B2054" s="39">
        <v>46076</v>
      </c>
      <c r="D2054" s="36" t="s">
        <v>1265</v>
      </c>
      <c r="E2054" s="36" t="s">
        <v>1323</v>
      </c>
      <c r="F2054" s="36" t="s">
        <v>137</v>
      </c>
      <c r="L2054" s="42">
        <v>-617.86</v>
      </c>
    </row>
    <row r="2055" spans="2:12" ht="14.4" x14ac:dyDescent="0.3">
      <c r="B2055" s="39">
        <v>46076</v>
      </c>
      <c r="D2055" s="36" t="s">
        <v>57</v>
      </c>
      <c r="E2055" s="36" t="s">
        <v>1114</v>
      </c>
      <c r="F2055" s="36" t="s">
        <v>70</v>
      </c>
      <c r="L2055" s="42">
        <v>-10.57</v>
      </c>
    </row>
    <row r="2056" spans="2:12" ht="14.4" x14ac:dyDescent="0.3">
      <c r="B2056" s="39">
        <v>46077</v>
      </c>
      <c r="D2056" s="49" t="s">
        <v>57</v>
      </c>
      <c r="E2056" s="36" t="s">
        <v>1013</v>
      </c>
      <c r="F2056" s="36" t="s">
        <v>282</v>
      </c>
      <c r="L2056" s="42">
        <v>11.69</v>
      </c>
    </row>
    <row r="2057" spans="2:12" ht="14.4" x14ac:dyDescent="0.3">
      <c r="B2057" s="39">
        <v>46078</v>
      </c>
      <c r="D2057" s="49" t="s">
        <v>57</v>
      </c>
      <c r="E2057" s="36" t="s">
        <v>1324</v>
      </c>
      <c r="F2057" s="36" t="s">
        <v>282</v>
      </c>
      <c r="L2057" s="42">
        <v>-10.1</v>
      </c>
    </row>
    <row r="2058" spans="2:12" ht="14.4" x14ac:dyDescent="0.3">
      <c r="B2058" s="39">
        <v>46078</v>
      </c>
      <c r="D2058" s="36" t="s">
        <v>1265</v>
      </c>
      <c r="E2058" s="36" t="s">
        <v>1329</v>
      </c>
      <c r="F2058" s="36" t="s">
        <v>524</v>
      </c>
      <c r="K2058" s="42">
        <v>14112</v>
      </c>
    </row>
    <row r="2059" spans="2:12" ht="14.4" x14ac:dyDescent="0.3">
      <c r="B2059" s="39">
        <v>46078</v>
      </c>
      <c r="D2059" s="36" t="s">
        <v>1264</v>
      </c>
      <c r="E2059" s="36" t="s">
        <v>1329</v>
      </c>
      <c r="F2059" s="36" t="s">
        <v>524</v>
      </c>
      <c r="K2059" s="42">
        <v>1235</v>
      </c>
    </row>
    <row r="2060" spans="2:12" ht="14.4" x14ac:dyDescent="0.3"/>
    <row r="2061" spans="2:12" ht="14.4" x14ac:dyDescent="0.3"/>
    <row r="2062" spans="2:12" ht="14.4" x14ac:dyDescent="0.3"/>
    <row r="2063" spans="2:12" ht="14.4" x14ac:dyDescent="0.3"/>
    <row r="2064" spans="2:12" ht="14.4" x14ac:dyDescent="0.3"/>
    <row r="2065" ht="14.4" x14ac:dyDescent="0.3"/>
    <row r="2066" ht="14.4" x14ac:dyDescent="0.3"/>
    <row r="2067" ht="14.4" x14ac:dyDescent="0.3"/>
    <row r="2068" ht="14.4" x14ac:dyDescent="0.3"/>
    <row r="2069" ht="14.4" x14ac:dyDescent="0.3"/>
    <row r="2070" ht="14.4" x14ac:dyDescent="0.3"/>
    <row r="2071" ht="14.4" x14ac:dyDescent="0.3"/>
    <row r="2072" ht="14.4" x14ac:dyDescent="0.3"/>
    <row r="2073" ht="14.4" x14ac:dyDescent="0.3"/>
    <row r="2074" ht="14.4" x14ac:dyDescent="0.3"/>
    <row r="2075" ht="14.4" x14ac:dyDescent="0.3"/>
    <row r="2076" ht="14.4" x14ac:dyDescent="0.3"/>
    <row r="2077" ht="14.4" x14ac:dyDescent="0.3"/>
    <row r="2078" ht="14.4" x14ac:dyDescent="0.3"/>
    <row r="2079" ht="14.4" x14ac:dyDescent="0.3"/>
    <row r="2080" ht="14.4" x14ac:dyDescent="0.3"/>
    <row r="2081" ht="14.4" x14ac:dyDescent="0.3"/>
    <row r="2082" ht="14.4" x14ac:dyDescent="0.3"/>
    <row r="2083" ht="14.4" x14ac:dyDescent="0.3"/>
    <row r="2084" ht="14.4" x14ac:dyDescent="0.3"/>
    <row r="2085" ht="14.4" x14ac:dyDescent="0.3"/>
    <row r="2086" ht="14.4" x14ac:dyDescent="0.3"/>
    <row r="2087" ht="14.4" x14ac:dyDescent="0.3"/>
    <row r="2088" ht="14.4" x14ac:dyDescent="0.3"/>
    <row r="2089" ht="14.4" x14ac:dyDescent="0.3"/>
    <row r="2090" ht="14.4" x14ac:dyDescent="0.3"/>
    <row r="2091" ht="14.4" x14ac:dyDescent="0.3"/>
    <row r="2092" ht="14.4" x14ac:dyDescent="0.3"/>
    <row r="2093" ht="14.4" x14ac:dyDescent="0.3"/>
    <row r="2094" ht="14.4" x14ac:dyDescent="0.3"/>
    <row r="2095" ht="14.4" x14ac:dyDescent="0.3"/>
    <row r="2096" ht="14.4" x14ac:dyDescent="0.3"/>
    <row r="2097" ht="14.4" x14ac:dyDescent="0.3"/>
    <row r="2098" ht="14.4" x14ac:dyDescent="0.3"/>
    <row r="2099" ht="14.4" x14ac:dyDescent="0.3"/>
    <row r="2100" ht="14.4" x14ac:dyDescent="0.3"/>
    <row r="2101" ht="14.4" x14ac:dyDescent="0.3"/>
    <row r="2102" ht="14.4" x14ac:dyDescent="0.3"/>
    <row r="2103" ht="14.4" x14ac:dyDescent="0.3"/>
    <row r="2104" ht="14.4" x14ac:dyDescent="0.3"/>
    <row r="2105" ht="14.4" x14ac:dyDescent="0.3"/>
    <row r="2106" ht="14.4" x14ac:dyDescent="0.3"/>
    <row r="2107" ht="14.4" x14ac:dyDescent="0.3"/>
    <row r="2108" ht="14.4" x14ac:dyDescent="0.3"/>
    <row r="2109" ht="14.4" x14ac:dyDescent="0.3"/>
    <row r="2110" ht="14.4" x14ac:dyDescent="0.3"/>
    <row r="2111" ht="14.4" x14ac:dyDescent="0.3"/>
    <row r="2112" ht="14.4" x14ac:dyDescent="0.3"/>
    <row r="2113" ht="14.4" x14ac:dyDescent="0.3"/>
    <row r="2114" ht="14.4" x14ac:dyDescent="0.3"/>
    <row r="2115" ht="14.4" x14ac:dyDescent="0.3"/>
    <row r="2116" ht="14.4" x14ac:dyDescent="0.3"/>
    <row r="2117" ht="14.4" x14ac:dyDescent="0.3"/>
    <row r="2118" ht="14.4" x14ac:dyDescent="0.3"/>
    <row r="2119" ht="14.4" x14ac:dyDescent="0.3"/>
    <row r="2120" ht="14.4" x14ac:dyDescent="0.3"/>
    <row r="2121" ht="14.4" x14ac:dyDescent="0.3"/>
    <row r="2122" ht="14.4" x14ac:dyDescent="0.3"/>
    <row r="2123" ht="14.4" x14ac:dyDescent="0.3"/>
    <row r="2124" ht="14.4" x14ac:dyDescent="0.3"/>
    <row r="2125" ht="14.4" x14ac:dyDescent="0.3"/>
    <row r="2126" ht="14.4" x14ac:dyDescent="0.3"/>
    <row r="2127" ht="14.4" x14ac:dyDescent="0.3"/>
    <row r="2128" ht="14.4" x14ac:dyDescent="0.3"/>
    <row r="2129" ht="14.4" x14ac:dyDescent="0.3"/>
    <row r="2130" ht="14.4" x14ac:dyDescent="0.3"/>
    <row r="2131" ht="14.4" x14ac:dyDescent="0.3"/>
    <row r="2132" ht="14.4" x14ac:dyDescent="0.3"/>
    <row r="2133" ht="14.4" x14ac:dyDescent="0.3"/>
    <row r="2134" ht="14.4" x14ac:dyDescent="0.3"/>
    <row r="2135" ht="14.4" x14ac:dyDescent="0.3"/>
    <row r="2136" ht="14.4" x14ac:dyDescent="0.3"/>
    <row r="2137" ht="14.4" x14ac:dyDescent="0.3"/>
    <row r="2138" ht="14.4" x14ac:dyDescent="0.3"/>
    <row r="2139" ht="14.4" x14ac:dyDescent="0.3"/>
    <row r="2140" ht="14.4" x14ac:dyDescent="0.3"/>
    <row r="2141" ht="14.4" x14ac:dyDescent="0.3"/>
    <row r="2142" ht="14.4" x14ac:dyDescent="0.3"/>
    <row r="2143" ht="14.4" x14ac:dyDescent="0.3"/>
    <row r="2144" ht="14.4" x14ac:dyDescent="0.3"/>
    <row r="2145" ht="14.4" x14ac:dyDescent="0.3"/>
    <row r="2146" ht="14.4" x14ac:dyDescent="0.3"/>
    <row r="2147" ht="14.4" x14ac:dyDescent="0.3"/>
    <row r="2148" ht="14.4" x14ac:dyDescent="0.3"/>
    <row r="2149" ht="14.4" x14ac:dyDescent="0.3"/>
    <row r="2150" ht="14.4" x14ac:dyDescent="0.3"/>
    <row r="2151" ht="14.4" x14ac:dyDescent="0.3"/>
    <row r="2152" ht="14.4" x14ac:dyDescent="0.3"/>
    <row r="2153" ht="14.4" x14ac:dyDescent="0.3"/>
    <row r="2154" ht="14.4" x14ac:dyDescent="0.3"/>
    <row r="2155" ht="14.4" x14ac:dyDescent="0.3"/>
    <row r="2156" ht="14.4" x14ac:dyDescent="0.3"/>
    <row r="2157" ht="14.4" x14ac:dyDescent="0.3"/>
    <row r="2158" ht="14.4" x14ac:dyDescent="0.3"/>
    <row r="2159" ht="14.4" x14ac:dyDescent="0.3"/>
    <row r="2160" ht="14.4" x14ac:dyDescent="0.3"/>
    <row r="2161" ht="14.4" x14ac:dyDescent="0.3"/>
    <row r="2162" ht="14.4" x14ac:dyDescent="0.3"/>
    <row r="2163" ht="14.4" x14ac:dyDescent="0.3"/>
    <row r="2164" ht="14.4" x14ac:dyDescent="0.3"/>
    <row r="2165" ht="14.4" x14ac:dyDescent="0.3"/>
    <row r="2166" ht="14.4" x14ac:dyDescent="0.3"/>
    <row r="2167" ht="14.4" x14ac:dyDescent="0.3"/>
    <row r="2168" ht="14.4" x14ac:dyDescent="0.3"/>
    <row r="2169" ht="14.4" x14ac:dyDescent="0.3"/>
    <row r="2170" ht="14.4" x14ac:dyDescent="0.3"/>
    <row r="2171" ht="14.4" x14ac:dyDescent="0.3"/>
    <row r="2172" ht="14.4" x14ac:dyDescent="0.3"/>
    <row r="2173" ht="14.4" x14ac:dyDescent="0.3"/>
    <row r="2174" ht="14.4" x14ac:dyDescent="0.3"/>
    <row r="2175" ht="14.4" x14ac:dyDescent="0.3"/>
    <row r="2176" ht="14.4" x14ac:dyDescent="0.3"/>
    <row r="2177" ht="14.4" x14ac:dyDescent="0.3"/>
    <row r="2178" ht="14.4" x14ac:dyDescent="0.3"/>
    <row r="2179" ht="14.4" x14ac:dyDescent="0.3"/>
    <row r="2180" ht="14.4" x14ac:dyDescent="0.3"/>
    <row r="2181" ht="14.4" x14ac:dyDescent="0.3"/>
    <row r="2182" ht="14.4" x14ac:dyDescent="0.3"/>
    <row r="2183" ht="14.4" x14ac:dyDescent="0.3"/>
    <row r="2184" ht="14.4" x14ac:dyDescent="0.3"/>
    <row r="2185" ht="14.4" x14ac:dyDescent="0.3"/>
    <row r="2186" ht="14.4" x14ac:dyDescent="0.3"/>
    <row r="2187" ht="14.4" x14ac:dyDescent="0.3"/>
    <row r="2188" ht="14.4" x14ac:dyDescent="0.3"/>
    <row r="2189" ht="14.4" x14ac:dyDescent="0.3"/>
    <row r="2190" ht="14.4" x14ac:dyDescent="0.3"/>
    <row r="2191" ht="14.4" x14ac:dyDescent="0.3"/>
    <row r="2192" ht="14.4" x14ac:dyDescent="0.3"/>
    <row r="2193" ht="14.4" x14ac:dyDescent="0.3"/>
    <row r="2194" ht="14.4" x14ac:dyDescent="0.3"/>
    <row r="2195" ht="14.4" x14ac:dyDescent="0.3"/>
    <row r="2196" ht="14.4" x14ac:dyDescent="0.3"/>
    <row r="2197" ht="14.4" x14ac:dyDescent="0.3"/>
    <row r="2198" ht="14.4" x14ac:dyDescent="0.3"/>
    <row r="2199" ht="14.4" x14ac:dyDescent="0.3"/>
    <row r="2200" ht="14.4" x14ac:dyDescent="0.3"/>
    <row r="2201" ht="14.4" x14ac:dyDescent="0.3"/>
    <row r="2202" ht="14.4" x14ac:dyDescent="0.3"/>
    <row r="2203" ht="14.4" x14ac:dyDescent="0.3"/>
    <row r="2204" ht="14.4" x14ac:dyDescent="0.3"/>
    <row r="2205" ht="14.4" x14ac:dyDescent="0.3"/>
    <row r="2206" ht="14.4" x14ac:dyDescent="0.3"/>
    <row r="2207" ht="14.4" x14ac:dyDescent="0.3"/>
    <row r="2208" ht="14.4" x14ac:dyDescent="0.3"/>
    <row r="2209" ht="14.4" x14ac:dyDescent="0.3"/>
    <row r="2210" ht="14.4" x14ac:dyDescent="0.3"/>
    <row r="2211" ht="14.4" x14ac:dyDescent="0.3"/>
    <row r="2212" ht="14.4" x14ac:dyDescent="0.3"/>
    <row r="2213" ht="14.4" x14ac:dyDescent="0.3"/>
    <row r="2214" ht="14.4" x14ac:dyDescent="0.3"/>
    <row r="2215" ht="14.4" x14ac:dyDescent="0.3"/>
    <row r="2216" ht="14.4" x14ac:dyDescent="0.3"/>
    <row r="2217" ht="14.4" x14ac:dyDescent="0.3"/>
    <row r="2218" ht="14.4" x14ac:dyDescent="0.3"/>
    <row r="2219" ht="14.4" x14ac:dyDescent="0.3"/>
    <row r="2220" ht="14.4" x14ac:dyDescent="0.3"/>
    <row r="2221" ht="14.4" x14ac:dyDescent="0.3"/>
    <row r="2222" ht="14.4" x14ac:dyDescent="0.3"/>
    <row r="2223" ht="14.4" x14ac:dyDescent="0.3"/>
    <row r="2224" ht="14.4" x14ac:dyDescent="0.3"/>
    <row r="2225" ht="14.4" x14ac:dyDescent="0.3"/>
    <row r="2226" ht="14.4" x14ac:dyDescent="0.3"/>
    <row r="2227" ht="14.4" x14ac:dyDescent="0.3"/>
    <row r="2228" ht="14.4" x14ac:dyDescent="0.3"/>
    <row r="2229" ht="14.4" x14ac:dyDescent="0.3"/>
    <row r="2230" ht="14.4" x14ac:dyDescent="0.3"/>
    <row r="2231" ht="14.4" x14ac:dyDescent="0.3"/>
    <row r="2232" ht="14.4" x14ac:dyDescent="0.3"/>
    <row r="2233" ht="14.4" x14ac:dyDescent="0.3"/>
    <row r="2234" ht="14.4" x14ac:dyDescent="0.3"/>
    <row r="2235" ht="14.4" x14ac:dyDescent="0.3"/>
    <row r="2236" ht="14.4" x14ac:dyDescent="0.3"/>
    <row r="2237" ht="14.4" x14ac:dyDescent="0.3"/>
    <row r="2238" ht="14.4" x14ac:dyDescent="0.3"/>
    <row r="2239" ht="14.4" x14ac:dyDescent="0.3"/>
    <row r="2240" ht="14.4" x14ac:dyDescent="0.3"/>
    <row r="2241" ht="14.4" x14ac:dyDescent="0.3"/>
    <row r="2242" ht="14.4" x14ac:dyDescent="0.3"/>
    <row r="2243" ht="14.4" x14ac:dyDescent="0.3"/>
    <row r="2244" ht="14.4" x14ac:dyDescent="0.3"/>
    <row r="2245" ht="14.4" x14ac:dyDescent="0.3"/>
    <row r="2246" ht="14.4" x14ac:dyDescent="0.3"/>
    <row r="2247" ht="14.4" x14ac:dyDescent="0.3"/>
    <row r="2248" ht="14.4" x14ac:dyDescent="0.3"/>
    <row r="2249" ht="14.4" x14ac:dyDescent="0.3"/>
    <row r="2250" ht="14.4" x14ac:dyDescent="0.3"/>
    <row r="2251" ht="14.4" x14ac:dyDescent="0.3"/>
    <row r="2252" ht="14.4" x14ac:dyDescent="0.3"/>
    <row r="2253" ht="14.4" x14ac:dyDescent="0.3"/>
    <row r="2254" ht="14.4" x14ac:dyDescent="0.3"/>
    <row r="2255" ht="14.4" x14ac:dyDescent="0.3"/>
    <row r="2256" ht="14.4" x14ac:dyDescent="0.3"/>
    <row r="2257" ht="14.4" x14ac:dyDescent="0.3"/>
    <row r="2258" ht="14.4" x14ac:dyDescent="0.3"/>
    <row r="2259" ht="14.4" x14ac:dyDescent="0.3"/>
    <row r="2260" ht="14.4" x14ac:dyDescent="0.3"/>
    <row r="2261" ht="14.4" x14ac:dyDescent="0.3"/>
    <row r="2262" ht="14.4" x14ac:dyDescent="0.3"/>
    <row r="2263" ht="14.4" x14ac:dyDescent="0.3"/>
    <row r="2264" ht="14.4" x14ac:dyDescent="0.3"/>
    <row r="2265" ht="14.4" x14ac:dyDescent="0.3"/>
    <row r="2266" ht="14.4" x14ac:dyDescent="0.3"/>
    <row r="2267" ht="14.4" x14ac:dyDescent="0.3"/>
    <row r="2268" ht="14.4" x14ac:dyDescent="0.3"/>
    <row r="2269" ht="14.4" x14ac:dyDescent="0.3"/>
    <row r="2270" ht="14.4" x14ac:dyDescent="0.3"/>
    <row r="2271" ht="14.4" x14ac:dyDescent="0.3"/>
    <row r="2272" ht="14.4" x14ac:dyDescent="0.3"/>
    <row r="2273" ht="14.4" x14ac:dyDescent="0.3"/>
    <row r="2274" ht="14.4" x14ac:dyDescent="0.3"/>
    <row r="2275" ht="14.4" x14ac:dyDescent="0.3"/>
    <row r="2276" ht="14.4" x14ac:dyDescent="0.3"/>
    <row r="2277" ht="14.4" x14ac:dyDescent="0.3"/>
    <row r="2278" ht="14.4" x14ac:dyDescent="0.3"/>
    <row r="2279" ht="14.4" x14ac:dyDescent="0.3"/>
    <row r="2280" ht="14.4" x14ac:dyDescent="0.3"/>
    <row r="2281" ht="14.4" x14ac:dyDescent="0.3"/>
    <row r="2282" ht="14.4" x14ac:dyDescent="0.3"/>
    <row r="2283" ht="14.4" x14ac:dyDescent="0.3"/>
    <row r="2284" ht="14.4" x14ac:dyDescent="0.3"/>
    <row r="2285" ht="14.4" x14ac:dyDescent="0.3"/>
    <row r="2286" ht="14.4" x14ac:dyDescent="0.3"/>
    <row r="2287" ht="14.4" x14ac:dyDescent="0.3"/>
    <row r="2288" ht="14.4" x14ac:dyDescent="0.3"/>
    <row r="2289" ht="14.4" x14ac:dyDescent="0.3"/>
    <row r="2290" ht="14.4" x14ac:dyDescent="0.3"/>
    <row r="2291" ht="14.4" x14ac:dyDescent="0.3"/>
    <row r="2292" ht="14.4" x14ac:dyDescent="0.3"/>
    <row r="2293" ht="14.4" x14ac:dyDescent="0.3"/>
    <row r="2294" ht="14.4" x14ac:dyDescent="0.3"/>
    <row r="2295" ht="14.4" x14ac:dyDescent="0.3"/>
    <row r="2296" ht="14.4" x14ac:dyDescent="0.3"/>
    <row r="2297" ht="14.4" x14ac:dyDescent="0.3"/>
    <row r="2298" ht="14.4" x14ac:dyDescent="0.3"/>
    <row r="2299" ht="14.4" x14ac:dyDescent="0.3"/>
    <row r="2300" ht="14.4" x14ac:dyDescent="0.3"/>
    <row r="2301" ht="14.4" x14ac:dyDescent="0.3"/>
    <row r="2302" ht="14.4" x14ac:dyDescent="0.3"/>
    <row r="2303" ht="14.4" x14ac:dyDescent="0.3"/>
    <row r="2304" ht="14.4" x14ac:dyDescent="0.3"/>
    <row r="2305" ht="14.4" x14ac:dyDescent="0.3"/>
    <row r="2306" ht="14.4" x14ac:dyDescent="0.3"/>
    <row r="2307" ht="14.4" x14ac:dyDescent="0.3"/>
    <row r="2308" ht="14.4" x14ac:dyDescent="0.3"/>
    <row r="2309" ht="14.4" x14ac:dyDescent="0.3"/>
    <row r="2310" ht="14.4" x14ac:dyDescent="0.3"/>
    <row r="2311" ht="14.4" x14ac:dyDescent="0.3"/>
    <row r="2312" ht="14.4" x14ac:dyDescent="0.3"/>
    <row r="2313" ht="14.4" x14ac:dyDescent="0.3"/>
    <row r="2314" ht="14.4" x14ac:dyDescent="0.3"/>
    <row r="2315" ht="14.4" x14ac:dyDescent="0.3"/>
    <row r="2316" ht="14.4" x14ac:dyDescent="0.3"/>
    <row r="2317" ht="14.4" x14ac:dyDescent="0.3"/>
    <row r="2318" ht="14.4" x14ac:dyDescent="0.3"/>
    <row r="2319" ht="14.4" x14ac:dyDescent="0.3"/>
    <row r="2320" ht="14.4" x14ac:dyDescent="0.3"/>
    <row r="2321" ht="14.4" x14ac:dyDescent="0.3"/>
    <row r="2322" ht="14.4" x14ac:dyDescent="0.3"/>
    <row r="2323" ht="14.4" x14ac:dyDescent="0.3"/>
    <row r="2324" ht="14.4" x14ac:dyDescent="0.3"/>
    <row r="2325" ht="14.4" x14ac:dyDescent="0.3"/>
    <row r="2326" ht="14.4" x14ac:dyDescent="0.3"/>
    <row r="2327" ht="14.4" x14ac:dyDescent="0.3"/>
    <row r="2328" ht="14.4" x14ac:dyDescent="0.3"/>
    <row r="2329" ht="14.4" x14ac:dyDescent="0.3"/>
    <row r="2330" ht="14.4" x14ac:dyDescent="0.3"/>
    <row r="2331" ht="14.4" x14ac:dyDescent="0.3"/>
    <row r="2332" ht="14.4" x14ac:dyDescent="0.3"/>
    <row r="2333" ht="14.4" x14ac:dyDescent="0.3"/>
    <row r="2334" ht="14.4" x14ac:dyDescent="0.3"/>
    <row r="2335" ht="14.4" x14ac:dyDescent="0.3"/>
    <row r="2336" ht="14.4" x14ac:dyDescent="0.3"/>
    <row r="2337" ht="14.4" x14ac:dyDescent="0.3"/>
    <row r="2338" ht="14.4" x14ac:dyDescent="0.3"/>
    <row r="2339" ht="14.4" x14ac:dyDescent="0.3"/>
    <row r="2340" ht="14.4" x14ac:dyDescent="0.3"/>
    <row r="2341" ht="14.4" x14ac:dyDescent="0.3"/>
    <row r="2342" ht="14.4" x14ac:dyDescent="0.3"/>
    <row r="2343" ht="14.4" x14ac:dyDescent="0.3"/>
    <row r="2344" ht="14.4" x14ac:dyDescent="0.3"/>
    <row r="2345" ht="14.4" x14ac:dyDescent="0.3"/>
    <row r="2346" ht="14.4" x14ac:dyDescent="0.3"/>
    <row r="2347" ht="14.4" x14ac:dyDescent="0.3"/>
    <row r="2348" ht="14.4" x14ac:dyDescent="0.3"/>
    <row r="2349" ht="14.4" x14ac:dyDescent="0.3"/>
    <row r="2350" ht="14.4" x14ac:dyDescent="0.3"/>
    <row r="2351" ht="14.4" x14ac:dyDescent="0.3"/>
    <row r="2352" ht="14.4" x14ac:dyDescent="0.3"/>
    <row r="2353" ht="14.4" x14ac:dyDescent="0.3"/>
    <row r="2354" ht="14.4" x14ac:dyDescent="0.3"/>
    <row r="2355" ht="14.4" x14ac:dyDescent="0.3"/>
    <row r="2356" ht="14.4" x14ac:dyDescent="0.3"/>
    <row r="2357" ht="14.4" x14ac:dyDescent="0.3"/>
    <row r="2358" ht="14.4" x14ac:dyDescent="0.3"/>
    <row r="2359" ht="14.4" x14ac:dyDescent="0.3"/>
    <row r="2360" ht="14.4" x14ac:dyDescent="0.3"/>
    <row r="2361" ht="14.4" x14ac:dyDescent="0.3"/>
    <row r="2362" ht="14.4" x14ac:dyDescent="0.3"/>
    <row r="2363" ht="14.4" x14ac:dyDescent="0.3"/>
    <row r="2364" ht="14.4" x14ac:dyDescent="0.3"/>
    <row r="2365" ht="14.4" x14ac:dyDescent="0.3"/>
    <row r="2366" ht="14.4" x14ac:dyDescent="0.3"/>
    <row r="2367" ht="14.4" x14ac:dyDescent="0.3"/>
    <row r="2368" ht="14.4" x14ac:dyDescent="0.3"/>
    <row r="2369" ht="14.4" x14ac:dyDescent="0.3"/>
    <row r="2370" ht="14.4" x14ac:dyDescent="0.3"/>
    <row r="2371" ht="14.4" x14ac:dyDescent="0.3"/>
    <row r="2372" ht="14.4" x14ac:dyDescent="0.3"/>
    <row r="2373" ht="14.4" x14ac:dyDescent="0.3"/>
    <row r="2374" ht="14.4" x14ac:dyDescent="0.3"/>
    <row r="2375" ht="14.4" x14ac:dyDescent="0.3"/>
    <row r="2376" ht="14.4" x14ac:dyDescent="0.3"/>
    <row r="2377" ht="14.4" x14ac:dyDescent="0.3"/>
    <row r="2378" ht="14.4" x14ac:dyDescent="0.3"/>
    <row r="2379" ht="14.4" x14ac:dyDescent="0.3"/>
    <row r="2380" ht="14.4" x14ac:dyDescent="0.3"/>
    <row r="2381" ht="14.4" x14ac:dyDescent="0.3"/>
    <row r="2382" ht="14.4" x14ac:dyDescent="0.3"/>
    <row r="2383" ht="14.4" x14ac:dyDescent="0.3"/>
    <row r="2384" ht="14.4" x14ac:dyDescent="0.3"/>
    <row r="2385" ht="14.4" x14ac:dyDescent="0.3"/>
    <row r="2386" ht="14.4" x14ac:dyDescent="0.3"/>
    <row r="2387" ht="14.4" x14ac:dyDescent="0.3"/>
    <row r="2388" ht="14.4" x14ac:dyDescent="0.3"/>
    <row r="2389" ht="14.4" x14ac:dyDescent="0.3"/>
    <row r="2390" ht="14.4" x14ac:dyDescent="0.3"/>
    <row r="2391" ht="14.4" x14ac:dyDescent="0.3"/>
    <row r="2392" ht="14.4" x14ac:dyDescent="0.3"/>
    <row r="2393" ht="14.4" x14ac:dyDescent="0.3"/>
    <row r="2394" ht="14.4" x14ac:dyDescent="0.3"/>
    <row r="2395" ht="14.4" x14ac:dyDescent="0.3"/>
    <row r="2396" ht="14.4" x14ac:dyDescent="0.3"/>
    <row r="2397" ht="14.4" x14ac:dyDescent="0.3"/>
    <row r="2398" ht="14.4" x14ac:dyDescent="0.3"/>
    <row r="2399" ht="14.4" x14ac:dyDescent="0.3"/>
    <row r="2400" ht="14.4" x14ac:dyDescent="0.3"/>
    <row r="2401" ht="14.4" x14ac:dyDescent="0.3"/>
    <row r="2402" ht="14.4" x14ac:dyDescent="0.3"/>
    <row r="2403" ht="14.4" x14ac:dyDescent="0.3"/>
    <row r="2404" ht="14.4" x14ac:dyDescent="0.3"/>
    <row r="2405" ht="14.4" x14ac:dyDescent="0.3"/>
    <row r="2406" ht="14.4" x14ac:dyDescent="0.3"/>
    <row r="2407" ht="14.4" x14ac:dyDescent="0.3"/>
    <row r="2408" ht="14.4" x14ac:dyDescent="0.3"/>
    <row r="2409" ht="14.4" x14ac:dyDescent="0.3"/>
    <row r="2410" ht="14.4" x14ac:dyDescent="0.3"/>
    <row r="2411" ht="14.4" x14ac:dyDescent="0.3"/>
    <row r="2412" ht="14.4" x14ac:dyDescent="0.3"/>
    <row r="2413" ht="14.4" x14ac:dyDescent="0.3"/>
    <row r="2414" ht="14.4" x14ac:dyDescent="0.3"/>
    <row r="2415" ht="14.4" x14ac:dyDescent="0.3"/>
    <row r="2416" ht="14.4" x14ac:dyDescent="0.3"/>
    <row r="2417" ht="14.4" x14ac:dyDescent="0.3"/>
    <row r="2418" ht="14.4" x14ac:dyDescent="0.3"/>
    <row r="2419" ht="14.4" x14ac:dyDescent="0.3"/>
    <row r="2420" ht="14.4" x14ac:dyDescent="0.3"/>
    <row r="2421" ht="14.4" x14ac:dyDescent="0.3"/>
    <row r="2422" ht="14.4" x14ac:dyDescent="0.3"/>
    <row r="2423" ht="14.4" x14ac:dyDescent="0.3"/>
    <row r="2424" ht="14.4" x14ac:dyDescent="0.3"/>
    <row r="2425" ht="14.4" x14ac:dyDescent="0.3"/>
    <row r="2426" ht="14.4" x14ac:dyDescent="0.3"/>
    <row r="2427" ht="14.4" x14ac:dyDescent="0.3"/>
    <row r="2428" ht="14.4" x14ac:dyDescent="0.3"/>
    <row r="2429" ht="14.4" x14ac:dyDescent="0.3"/>
    <row r="2430" ht="14.4" x14ac:dyDescent="0.3"/>
    <row r="2431" ht="14.4" x14ac:dyDescent="0.3"/>
    <row r="2432" ht="14.4" x14ac:dyDescent="0.3"/>
    <row r="2433" ht="14.4" x14ac:dyDescent="0.3"/>
    <row r="2434" ht="14.4" x14ac:dyDescent="0.3"/>
    <row r="2435" ht="14.4" x14ac:dyDescent="0.3"/>
    <row r="2436" ht="14.4" x14ac:dyDescent="0.3"/>
    <row r="2437" ht="14.4" x14ac:dyDescent="0.3"/>
    <row r="2438" ht="14.4" x14ac:dyDescent="0.3"/>
    <row r="2439" ht="14.4" x14ac:dyDescent="0.3"/>
    <row r="2440" ht="14.4" x14ac:dyDescent="0.3"/>
    <row r="2441" ht="14.4" x14ac:dyDescent="0.3"/>
    <row r="2442" ht="14.4" x14ac:dyDescent="0.3"/>
    <row r="2443" ht="14.4" x14ac:dyDescent="0.3"/>
    <row r="2444" ht="14.4" x14ac:dyDescent="0.3"/>
    <row r="2445" ht="14.4" x14ac:dyDescent="0.3"/>
    <row r="2446" ht="14.4" x14ac:dyDescent="0.3"/>
    <row r="2447" ht="14.4" x14ac:dyDescent="0.3"/>
    <row r="2448" ht="14.4" x14ac:dyDescent="0.3"/>
    <row r="2449" ht="14.4" x14ac:dyDescent="0.3"/>
    <row r="2450" ht="14.4" x14ac:dyDescent="0.3"/>
    <row r="2451" ht="14.4" x14ac:dyDescent="0.3"/>
    <row r="2452" ht="14.4" x14ac:dyDescent="0.3"/>
    <row r="2453" ht="14.4" x14ac:dyDescent="0.3"/>
    <row r="2454" ht="14.4" x14ac:dyDescent="0.3"/>
    <row r="2455" ht="14.4" x14ac:dyDescent="0.3"/>
    <row r="2456" ht="14.4" x14ac:dyDescent="0.3"/>
    <row r="2457" ht="14.4" x14ac:dyDescent="0.3"/>
    <row r="2458" ht="14.4" x14ac:dyDescent="0.3"/>
    <row r="2459" ht="14.4" x14ac:dyDescent="0.3"/>
    <row r="2460" ht="14.4" x14ac:dyDescent="0.3"/>
    <row r="2461" ht="14.4" x14ac:dyDescent="0.3"/>
    <row r="2462" ht="14.4" x14ac:dyDescent="0.3"/>
    <row r="2463" ht="14.4" x14ac:dyDescent="0.3"/>
    <row r="2464" ht="14.4" x14ac:dyDescent="0.3"/>
    <row r="2465" ht="14.4" x14ac:dyDescent="0.3"/>
    <row r="2466" ht="14.4" x14ac:dyDescent="0.3"/>
    <row r="2467" ht="14.4" x14ac:dyDescent="0.3"/>
    <row r="2468" ht="14.4" x14ac:dyDescent="0.3"/>
    <row r="2469" ht="14.4" x14ac:dyDescent="0.3"/>
    <row r="2470" ht="14.4" x14ac:dyDescent="0.3"/>
    <row r="2471" ht="14.4" x14ac:dyDescent="0.3"/>
    <row r="2472" ht="14.4" x14ac:dyDescent="0.3"/>
    <row r="2473" ht="14.4" x14ac:dyDescent="0.3"/>
    <row r="2474" ht="14.4" x14ac:dyDescent="0.3"/>
    <row r="2475" ht="14.4" x14ac:dyDescent="0.3"/>
    <row r="2476" ht="14.4" x14ac:dyDescent="0.3"/>
    <row r="2477" ht="14.4" x14ac:dyDescent="0.3"/>
    <row r="2478" ht="14.4" x14ac:dyDescent="0.3"/>
    <row r="2479" ht="14.4" x14ac:dyDescent="0.3"/>
    <row r="2480" ht="14.4" x14ac:dyDescent="0.3"/>
    <row r="2481" ht="14.4" x14ac:dyDescent="0.3"/>
    <row r="2482" ht="14.4" x14ac:dyDescent="0.3"/>
    <row r="2483" ht="14.4" x14ac:dyDescent="0.3"/>
    <row r="2484" ht="14.4" x14ac:dyDescent="0.3"/>
    <row r="2485" ht="14.4" x14ac:dyDescent="0.3"/>
    <row r="2486" ht="14.4" x14ac:dyDescent="0.3"/>
    <row r="2487" ht="14.4" x14ac:dyDescent="0.3"/>
    <row r="2488" ht="14.4" x14ac:dyDescent="0.3"/>
    <row r="2489" ht="14.4" x14ac:dyDescent="0.3"/>
    <row r="2490" ht="14.4" x14ac:dyDescent="0.3"/>
    <row r="2491" ht="14.4" x14ac:dyDescent="0.3"/>
    <row r="2492" ht="14.4" x14ac:dyDescent="0.3"/>
    <row r="2493" ht="14.4" x14ac:dyDescent="0.3"/>
    <row r="2494" ht="14.4" x14ac:dyDescent="0.3"/>
    <row r="2495" ht="14.4" x14ac:dyDescent="0.3"/>
    <row r="2496" ht="14.4" x14ac:dyDescent="0.3"/>
    <row r="2497" ht="14.4" x14ac:dyDescent="0.3"/>
    <row r="2498" ht="14.4" x14ac:dyDescent="0.3"/>
    <row r="2499" ht="14.4" x14ac:dyDescent="0.3"/>
    <row r="2500" ht="14.4" x14ac:dyDescent="0.3"/>
    <row r="2501" ht="14.4" x14ac:dyDescent="0.3"/>
    <row r="2502" ht="14.4" x14ac:dyDescent="0.3"/>
    <row r="2503" ht="14.4" x14ac:dyDescent="0.3"/>
    <row r="2504" ht="14.4" x14ac:dyDescent="0.3"/>
    <row r="2505" ht="14.4" x14ac:dyDescent="0.3"/>
    <row r="2506" ht="14.4" x14ac:dyDescent="0.3"/>
    <row r="2507" ht="14.4" x14ac:dyDescent="0.3"/>
    <row r="2508" ht="14.4" x14ac:dyDescent="0.3"/>
    <row r="2509" ht="14.4" x14ac:dyDescent="0.3"/>
    <row r="2510" ht="14.4" x14ac:dyDescent="0.3"/>
    <row r="2511" ht="14.4" x14ac:dyDescent="0.3"/>
    <row r="2512" ht="14.4" x14ac:dyDescent="0.3"/>
    <row r="2513" ht="14.4" x14ac:dyDescent="0.3"/>
    <row r="2514" ht="14.4" x14ac:dyDescent="0.3"/>
    <row r="2515" ht="14.4" x14ac:dyDescent="0.3"/>
    <row r="2516" ht="14.4" x14ac:dyDescent="0.3"/>
    <row r="2517" ht="14.4" x14ac:dyDescent="0.3"/>
    <row r="2518" ht="14.4" x14ac:dyDescent="0.3"/>
    <row r="2519" ht="14.4" x14ac:dyDescent="0.3"/>
    <row r="2520" ht="14.4" x14ac:dyDescent="0.3"/>
    <row r="2521" ht="14.4" x14ac:dyDescent="0.3"/>
    <row r="2522" ht="14.4" x14ac:dyDescent="0.3"/>
    <row r="2523" ht="14.4" x14ac:dyDescent="0.3"/>
    <row r="2524" ht="14.4" x14ac:dyDescent="0.3"/>
    <row r="2525" ht="14.4" x14ac:dyDescent="0.3"/>
    <row r="2526" ht="14.4" x14ac:dyDescent="0.3"/>
    <row r="2527" ht="14.4" x14ac:dyDescent="0.3"/>
    <row r="2528" ht="14.4" x14ac:dyDescent="0.3"/>
    <row r="2529" ht="14.4" x14ac:dyDescent="0.3"/>
    <row r="2530" ht="14.4" x14ac:dyDescent="0.3"/>
    <row r="2531" ht="14.4" x14ac:dyDescent="0.3"/>
    <row r="2532" ht="14.4" x14ac:dyDescent="0.3"/>
    <row r="2533" ht="14.4" x14ac:dyDescent="0.3"/>
    <row r="2534" ht="14.4" x14ac:dyDescent="0.3"/>
    <row r="2535" ht="14.4" x14ac:dyDescent="0.3"/>
    <row r="2536" ht="14.4" x14ac:dyDescent="0.3"/>
    <row r="2537" ht="14.4" x14ac:dyDescent="0.3"/>
    <row r="2538" ht="14.4" x14ac:dyDescent="0.3"/>
    <row r="2539" ht="14.4" x14ac:dyDescent="0.3"/>
    <row r="2540" ht="14.4" x14ac:dyDescent="0.3"/>
    <row r="2541" ht="14.4" x14ac:dyDescent="0.3"/>
    <row r="2542" ht="14.4" x14ac:dyDescent="0.3"/>
    <row r="2543" ht="14.4" x14ac:dyDescent="0.3"/>
    <row r="2544" ht="14.4" x14ac:dyDescent="0.3"/>
    <row r="2545" ht="14.4" x14ac:dyDescent="0.3"/>
    <row r="2546" ht="14.4" x14ac:dyDescent="0.3"/>
    <row r="2547" ht="14.4" x14ac:dyDescent="0.3"/>
    <row r="2548" ht="14.4" x14ac:dyDescent="0.3"/>
    <row r="2549" ht="14.4" x14ac:dyDescent="0.3"/>
    <row r="2550" ht="14.4" x14ac:dyDescent="0.3"/>
    <row r="2551" ht="14.4" x14ac:dyDescent="0.3"/>
    <row r="2552" ht="0" hidden="1" customHeight="1" x14ac:dyDescent="0.3"/>
  </sheetData>
  <autoFilter ref="B5:O2551" xr:uid="{675F3A92-B9CF-4497-97DC-987E7815AFB2}">
    <sortState xmlns:xlrd2="http://schemas.microsoft.com/office/spreadsheetml/2017/richdata2" ref="B6:O2551">
      <sortCondition ref="B5:B2551"/>
    </sortState>
  </autoFilter>
  <phoneticPr fontId="9" type="noConversion"/>
  <conditionalFormatting sqref="E1537:E1743 E1:E1535 E1748:E1048576">
    <cfRule type="duplicateValues" dxfId="2" priority="3"/>
  </conditionalFormatting>
  <conditionalFormatting sqref="F1733:F1740">
    <cfRule type="duplicateValues" dxfId="1" priority="2"/>
  </conditionalFormatting>
  <conditionalFormatting sqref="F1742:F1743">
    <cfRule type="duplicateValues" dxfId="0" priority="1"/>
  </conditionalFormatting>
  <conditionalFormatting sqref="G1537:O1048576 G6:O1535">
    <cfRule type="colorScale" priority="4">
      <colorScale>
        <cfvo type="num" val="-1"/>
        <cfvo type="num" val="1"/>
        <color theme="5" tint="0.39997558519241921"/>
        <color theme="9" tint="0.39997558519241921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14DC-DDB2-4360-83AB-7631828FBBDC}">
  <dimension ref="B1:S441"/>
  <sheetViews>
    <sheetView zoomScale="84" zoomScaleNormal="84" workbookViewId="0">
      <selection activeCell="B8" sqref="B8"/>
    </sheetView>
  </sheetViews>
  <sheetFormatPr baseColWidth="10" defaultRowHeight="14.4" x14ac:dyDescent="0.3"/>
  <cols>
    <col min="1" max="1" width="11.5546875" style="34"/>
    <col min="2" max="2" width="25.21875" style="34" bestFit="1" customWidth="1"/>
    <col min="3" max="3" width="14.5546875" style="45" bestFit="1" customWidth="1"/>
    <col min="4" max="4" width="9" style="45" bestFit="1" customWidth="1"/>
    <col min="5" max="5" width="8.109375" style="45" bestFit="1" customWidth="1"/>
    <col min="6" max="6" width="9.109375" style="45" bestFit="1" customWidth="1"/>
    <col min="7" max="8" width="9" style="45" bestFit="1" customWidth="1"/>
    <col min="9" max="10" width="9.109375" style="45" bestFit="1" customWidth="1"/>
    <col min="11" max="11" width="9" style="34" bestFit="1" customWidth="1"/>
    <col min="12" max="14" width="9.109375" style="34" bestFit="1" customWidth="1"/>
    <col min="15" max="15" width="9" style="34" bestFit="1" customWidth="1"/>
    <col min="16" max="16" width="9.109375" style="34" bestFit="1" customWidth="1"/>
    <col min="17" max="17" width="6.5546875" style="34" bestFit="1" customWidth="1"/>
    <col min="18" max="19" width="9.109375" style="34" bestFit="1" customWidth="1"/>
    <col min="20" max="27" width="10.6640625" style="34" bestFit="1" customWidth="1"/>
    <col min="28" max="33" width="9.6640625" style="34" bestFit="1" customWidth="1"/>
    <col min="34" max="43" width="10.6640625" style="34" bestFit="1" customWidth="1"/>
    <col min="44" max="48" width="9.6640625" style="34" bestFit="1" customWidth="1"/>
    <col min="49" max="55" width="10.6640625" style="34" bestFit="1" customWidth="1"/>
    <col min="56" max="59" width="9.6640625" style="34" bestFit="1" customWidth="1"/>
    <col min="60" max="78" width="10.6640625" style="34" bestFit="1" customWidth="1"/>
    <col min="79" max="84" width="9.6640625" style="34" bestFit="1" customWidth="1"/>
    <col min="85" max="91" width="10.6640625" style="34" bestFit="1" customWidth="1"/>
    <col min="92" max="95" width="9.6640625" style="34" bestFit="1" customWidth="1"/>
    <col min="96" max="108" width="10.6640625" style="34" bestFit="1" customWidth="1"/>
    <col min="109" max="113" width="9.6640625" style="34" bestFit="1" customWidth="1"/>
    <col min="114" max="121" width="10.6640625" style="34" bestFit="1" customWidth="1"/>
    <col min="122" max="123" width="9.6640625" style="34" bestFit="1" customWidth="1"/>
    <col min="124" max="129" width="10.6640625" style="34" bestFit="1" customWidth="1"/>
    <col min="130" max="132" width="9.6640625" style="34" bestFit="1" customWidth="1"/>
    <col min="133" max="143" width="10.6640625" style="34" bestFit="1" customWidth="1"/>
    <col min="144" max="150" width="9.6640625" style="34" bestFit="1" customWidth="1"/>
    <col min="151" max="158" width="10.6640625" style="34" bestFit="1" customWidth="1"/>
    <col min="159" max="164" width="9.6640625" style="34" bestFit="1" customWidth="1"/>
    <col min="165" max="176" width="10.6640625" style="34" bestFit="1" customWidth="1"/>
    <col min="177" max="181" width="9.6640625" style="34" bestFit="1" customWidth="1"/>
    <col min="182" max="192" width="10.6640625" style="34" bestFit="1" customWidth="1"/>
    <col min="193" max="196" width="9.6640625" style="34" bestFit="1" customWidth="1"/>
    <col min="197" max="205" width="10.6640625" style="34" bestFit="1" customWidth="1"/>
    <col min="206" max="209" width="9.6640625" style="34" bestFit="1" customWidth="1"/>
    <col min="210" max="223" width="10.6640625" style="34" bestFit="1" customWidth="1"/>
    <col min="224" max="229" width="9.6640625" style="34" bestFit="1" customWidth="1"/>
    <col min="230" max="241" width="10.6640625" style="34" bestFit="1" customWidth="1"/>
    <col min="242" max="250" width="9.6640625" style="34" bestFit="1" customWidth="1"/>
    <col min="251" max="266" width="10.6640625" style="34" bestFit="1" customWidth="1"/>
    <col min="267" max="275" width="9.6640625" style="34" bestFit="1" customWidth="1"/>
    <col min="276" max="293" width="10.6640625" style="34" bestFit="1" customWidth="1"/>
    <col min="294" max="301" width="9.6640625" style="34" bestFit="1" customWidth="1"/>
    <col min="302" max="322" width="10.6640625" style="34" bestFit="1" customWidth="1"/>
    <col min="323" max="330" width="9.6640625" style="34" bestFit="1" customWidth="1"/>
    <col min="331" max="340" width="10.6640625" style="34" bestFit="1" customWidth="1"/>
    <col min="341" max="341" width="11" style="34" bestFit="1" customWidth="1"/>
    <col min="342" max="16384" width="11.5546875" style="34"/>
  </cols>
  <sheetData>
    <row r="1" spans="2:19" x14ac:dyDescent="0.3">
      <c r="B1"/>
      <c r="C1"/>
    </row>
    <row r="2" spans="2:19" ht="28.8" x14ac:dyDescent="0.3">
      <c r="B2" s="46" t="s">
        <v>1266</v>
      </c>
      <c r="C2" s="34" t="s">
        <v>1269</v>
      </c>
    </row>
    <row r="3" spans="2:19" x14ac:dyDescent="0.3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 spans="2:19" ht="43.2" x14ac:dyDescent="0.3">
      <c r="B4" s="46" t="s">
        <v>541</v>
      </c>
      <c r="C4" s="34" t="s">
        <v>557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2:19" x14ac:dyDescent="0.3">
      <c r="B5" s="34" t="s">
        <v>1261</v>
      </c>
      <c r="C5" s="47">
        <v>19314.11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</row>
    <row r="6" spans="2:19" x14ac:dyDescent="0.3">
      <c r="B6" s="34" t="s">
        <v>1264</v>
      </c>
      <c r="C6" s="47">
        <v>15868.26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2:19" x14ac:dyDescent="0.3">
      <c r="B7" s="34" t="s">
        <v>1265</v>
      </c>
      <c r="C7" s="47">
        <v>10628.07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2:19" x14ac:dyDescent="0.3">
      <c r="B8" s="34" t="s">
        <v>194</v>
      </c>
      <c r="C8" s="47">
        <v>6511.7999999999993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2:19" x14ac:dyDescent="0.3">
      <c r="B9" s="34" t="s">
        <v>1262</v>
      </c>
      <c r="C9" s="47">
        <v>2824.34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2:19" x14ac:dyDescent="0.3">
      <c r="B10" s="34" t="s">
        <v>355</v>
      </c>
      <c r="C10" s="47">
        <v>1954.4199999999837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 spans="2:19" x14ac:dyDescent="0.3">
      <c r="B11" s="34" t="s">
        <v>1263</v>
      </c>
      <c r="C11" s="47">
        <v>566.1400000000001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2:19" x14ac:dyDescent="0.3">
      <c r="B12" s="34" t="s">
        <v>310</v>
      </c>
      <c r="C12" s="47">
        <v>1.2200000000011642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2:19" x14ac:dyDescent="0.3">
      <c r="B13" s="34" t="s">
        <v>110</v>
      </c>
      <c r="C13" s="47">
        <v>0.85999999998603016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2:19" x14ac:dyDescent="0.3">
      <c r="B14" s="34" t="s">
        <v>260</v>
      </c>
      <c r="C14" s="47">
        <v>0.31999999999999318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2:19" x14ac:dyDescent="0.3">
      <c r="B15" s="34" t="s">
        <v>783</v>
      </c>
      <c r="C15" s="47">
        <v>0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2:19" x14ac:dyDescent="0.3">
      <c r="B16" s="34" t="s">
        <v>1270</v>
      </c>
      <c r="C16" s="47">
        <v>0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2:19" x14ac:dyDescent="0.3">
      <c r="B17" s="34" t="s">
        <v>219</v>
      </c>
      <c r="C17" s="47">
        <v>-0.14999999999417923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2:19" x14ac:dyDescent="0.3">
      <c r="B18" s="34" t="s">
        <v>1118</v>
      </c>
      <c r="C18" s="47">
        <v>-0.38999999999941792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2:19" x14ac:dyDescent="0.3">
      <c r="B19" s="34" t="s">
        <v>258</v>
      </c>
      <c r="C19" s="47">
        <v>-0.46000000000003638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2:19" x14ac:dyDescent="0.3">
      <c r="B20" s="34" t="s">
        <v>173</v>
      </c>
      <c r="C20" s="47">
        <v>-0.48780487805197481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2:19" x14ac:dyDescent="0.3">
      <c r="B21" s="34" t="s">
        <v>272</v>
      </c>
      <c r="C21" s="47">
        <v>-4.3700000000001182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2:19" x14ac:dyDescent="0.3">
      <c r="B22" s="34" t="s">
        <v>520</v>
      </c>
      <c r="C22" s="47">
        <v>-9.58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2:19" x14ac:dyDescent="0.3">
      <c r="B23" s="34" t="s">
        <v>227</v>
      </c>
      <c r="C23" s="47">
        <v>-11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2:19" x14ac:dyDescent="0.3">
      <c r="B24" s="34" t="s">
        <v>519</v>
      </c>
      <c r="C24" s="47">
        <v>-12.620000000009895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2:19" x14ac:dyDescent="0.3">
      <c r="B25" s="34" t="s">
        <v>950</v>
      </c>
      <c r="C25" s="47">
        <v>-27.34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2:19" x14ac:dyDescent="0.3">
      <c r="B26" s="34" t="s">
        <v>564</v>
      </c>
      <c r="C26" s="47">
        <v>-28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2:19" x14ac:dyDescent="0.3">
      <c r="B27" s="34" t="s">
        <v>1281</v>
      </c>
      <c r="C27" s="47">
        <v>-30.789999999999964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2:19" x14ac:dyDescent="0.3">
      <c r="B28" s="34" t="s">
        <v>216</v>
      </c>
      <c r="C28" s="47">
        <v>-38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2:19" x14ac:dyDescent="0.3">
      <c r="B29" s="34" t="s">
        <v>323</v>
      </c>
      <c r="C29" s="47">
        <v>-38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2:19" x14ac:dyDescent="0.3">
      <c r="B30" s="34" t="s">
        <v>356</v>
      </c>
      <c r="C30" s="47">
        <v>-38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2:19" x14ac:dyDescent="0.3">
      <c r="B31" s="34" t="s">
        <v>192</v>
      </c>
      <c r="C31" s="47">
        <v>-48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2:19" x14ac:dyDescent="0.3">
      <c r="B32" s="34" t="s">
        <v>279</v>
      </c>
      <c r="C32" s="47">
        <v>-56.219999999999345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2:19" x14ac:dyDescent="0.3">
      <c r="B33" s="34" t="s">
        <v>196</v>
      </c>
      <c r="C33" s="47">
        <v>-60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2:19" x14ac:dyDescent="0.3">
      <c r="B34" s="34" t="s">
        <v>785</v>
      </c>
      <c r="C34" s="47">
        <v>-76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2:19" x14ac:dyDescent="0.3">
      <c r="B35" s="34" t="s">
        <v>940</v>
      </c>
      <c r="C35" s="47">
        <v>-788.33000000000175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2:19" x14ac:dyDescent="0.3">
      <c r="B36" s="34" t="s">
        <v>177</v>
      </c>
      <c r="C36" s="47">
        <v>-813.32999999999993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2:19" x14ac:dyDescent="0.3">
      <c r="B37" s="34" t="s">
        <v>57</v>
      </c>
      <c r="C37" s="47">
        <v>-13690.779999999992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2:19" x14ac:dyDescent="0.3">
      <c r="B38" s="34" t="s">
        <v>542</v>
      </c>
      <c r="C38" s="47">
        <v>41897.692195122188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2:19" x14ac:dyDescent="0.3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2:19" x14ac:dyDescent="0.3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9" x14ac:dyDescent="0.3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9" x14ac:dyDescent="0.3"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2:19" x14ac:dyDescent="0.3"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2:19" x14ac:dyDescent="0.3"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2:19" x14ac:dyDescent="0.3"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2:19" x14ac:dyDescent="0.3"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2:19" x14ac:dyDescent="0.3"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2:19" x14ac:dyDescent="0.3"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2:14" x14ac:dyDescent="0.3"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2:14" x14ac:dyDescent="0.3"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2:14" x14ac:dyDescent="0.3"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2:14" x14ac:dyDescent="0.3"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2:14" x14ac:dyDescent="0.3"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2:14" x14ac:dyDescent="0.3"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2:14" x14ac:dyDescent="0.3"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2:14" x14ac:dyDescent="0.3"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2:14" x14ac:dyDescent="0.3"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2:14" x14ac:dyDescent="0.3"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2:14" x14ac:dyDescent="0.3"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2:14" x14ac:dyDescent="0.3"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2:14" x14ac:dyDescent="0.3"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2:14" x14ac:dyDescent="0.3"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2:14" x14ac:dyDescent="0.3"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2:14" x14ac:dyDescent="0.3"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2:14" x14ac:dyDescent="0.3"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2:14" x14ac:dyDescent="0.3"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2:14" x14ac:dyDescent="0.3"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2:14" x14ac:dyDescent="0.3"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2:14" x14ac:dyDescent="0.3"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2:14" x14ac:dyDescent="0.3"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2:14" x14ac:dyDescent="0.3"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2:14" x14ac:dyDescent="0.3"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2:14" x14ac:dyDescent="0.3"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2:14" x14ac:dyDescent="0.3"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2:14" x14ac:dyDescent="0.3">
      <c r="B75"/>
      <c r="C75"/>
      <c r="D75"/>
      <c r="E75"/>
      <c r="F75"/>
      <c r="G75"/>
      <c r="H75"/>
      <c r="I75"/>
      <c r="J75"/>
      <c r="K75"/>
      <c r="L75"/>
      <c r="M75"/>
      <c r="N75"/>
    </row>
    <row r="76" spans="2:14" x14ac:dyDescent="0.3">
      <c r="B76"/>
      <c r="C76"/>
      <c r="D76"/>
      <c r="E76"/>
      <c r="F76"/>
      <c r="G76"/>
      <c r="H76"/>
      <c r="I76"/>
      <c r="J76"/>
      <c r="K76"/>
      <c r="L76"/>
      <c r="M76"/>
      <c r="N76"/>
    </row>
    <row r="77" spans="2:14" x14ac:dyDescent="0.3">
      <c r="B77"/>
      <c r="C77"/>
      <c r="D77"/>
      <c r="E77"/>
      <c r="F77"/>
      <c r="G77"/>
      <c r="H77"/>
      <c r="I77"/>
      <c r="J77"/>
      <c r="K77"/>
      <c r="L77"/>
      <c r="M77"/>
      <c r="N77"/>
    </row>
    <row r="78" spans="2:14" x14ac:dyDescent="0.3">
      <c r="B78"/>
      <c r="C78"/>
      <c r="D78"/>
      <c r="E78"/>
      <c r="F78"/>
      <c r="G78"/>
      <c r="H78"/>
      <c r="I78"/>
      <c r="J78"/>
      <c r="K78"/>
      <c r="L78"/>
      <c r="M78"/>
      <c r="N78"/>
    </row>
    <row r="79" spans="2:14" x14ac:dyDescent="0.3"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2:14" x14ac:dyDescent="0.3">
      <c r="B80"/>
      <c r="C80"/>
      <c r="D80"/>
      <c r="E80"/>
      <c r="F80"/>
      <c r="G80"/>
      <c r="H80"/>
      <c r="I80"/>
      <c r="J80"/>
      <c r="K80"/>
      <c r="L80"/>
      <c r="M80"/>
      <c r="N80"/>
    </row>
    <row r="81" spans="2:14" x14ac:dyDescent="0.3"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2:14" x14ac:dyDescent="0.3">
      <c r="B82"/>
      <c r="C82"/>
      <c r="D82"/>
      <c r="E82"/>
      <c r="F82"/>
      <c r="G82"/>
      <c r="H82"/>
      <c r="I82"/>
      <c r="J82"/>
      <c r="K82"/>
      <c r="L82"/>
      <c r="M82"/>
      <c r="N82"/>
    </row>
    <row r="83" spans="2:14" x14ac:dyDescent="0.3"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2:14" x14ac:dyDescent="0.3"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2:14" x14ac:dyDescent="0.3"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2:14" x14ac:dyDescent="0.3"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2:14" x14ac:dyDescent="0.3"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2:14" x14ac:dyDescent="0.3"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2:14" x14ac:dyDescent="0.3"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2:14" x14ac:dyDescent="0.3"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2:14" x14ac:dyDescent="0.3"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2:14" x14ac:dyDescent="0.3"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2:14" x14ac:dyDescent="0.3"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2:14" x14ac:dyDescent="0.3"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2:14" x14ac:dyDescent="0.3">
      <c r="B95"/>
      <c r="C95"/>
      <c r="D95"/>
      <c r="E95"/>
      <c r="F95"/>
      <c r="G95"/>
      <c r="H95"/>
      <c r="I95"/>
      <c r="J95"/>
      <c r="K95"/>
      <c r="L95"/>
      <c r="M95"/>
      <c r="N95"/>
    </row>
    <row r="96" spans="2:14" x14ac:dyDescent="0.3">
      <c r="B96"/>
      <c r="C96"/>
      <c r="D96"/>
      <c r="E96"/>
      <c r="F96"/>
      <c r="G96"/>
      <c r="H96"/>
      <c r="I96"/>
      <c r="J96"/>
      <c r="K96"/>
      <c r="L96"/>
      <c r="M96"/>
      <c r="N96"/>
    </row>
    <row r="97" s="34" customFormat="1" x14ac:dyDescent="0.3"/>
    <row r="98" s="34" customFormat="1" x14ac:dyDescent="0.3"/>
    <row r="99" s="34" customFormat="1" x14ac:dyDescent="0.3"/>
    <row r="100" s="34" customFormat="1" x14ac:dyDescent="0.3"/>
    <row r="101" s="34" customFormat="1" x14ac:dyDescent="0.3"/>
    <row r="102" s="34" customFormat="1" x14ac:dyDescent="0.3"/>
    <row r="103" s="34" customFormat="1" x14ac:dyDescent="0.3"/>
    <row r="104" s="34" customFormat="1" x14ac:dyDescent="0.3"/>
    <row r="105" s="34" customFormat="1" x14ac:dyDescent="0.3"/>
    <row r="106" s="34" customFormat="1" x14ac:dyDescent="0.3"/>
    <row r="107" s="34" customFormat="1" x14ac:dyDescent="0.3"/>
    <row r="108" s="34" customFormat="1" x14ac:dyDescent="0.3"/>
    <row r="109" s="34" customFormat="1" x14ac:dyDescent="0.3"/>
    <row r="110" s="34" customFormat="1" x14ac:dyDescent="0.3"/>
    <row r="111" s="34" customFormat="1" x14ac:dyDescent="0.3"/>
    <row r="112" s="34" customFormat="1" x14ac:dyDescent="0.3"/>
    <row r="113" s="34" customFormat="1" x14ac:dyDescent="0.3"/>
    <row r="114" s="34" customFormat="1" x14ac:dyDescent="0.3"/>
    <row r="115" s="34" customFormat="1" x14ac:dyDescent="0.3"/>
    <row r="116" s="34" customFormat="1" x14ac:dyDescent="0.3"/>
    <row r="117" s="34" customFormat="1" x14ac:dyDescent="0.3"/>
    <row r="118" s="34" customFormat="1" x14ac:dyDescent="0.3"/>
    <row r="119" s="34" customFormat="1" x14ac:dyDescent="0.3"/>
    <row r="120" s="34" customFormat="1" x14ac:dyDescent="0.3"/>
    <row r="121" s="34" customFormat="1" x14ac:dyDescent="0.3"/>
    <row r="122" s="34" customFormat="1" x14ac:dyDescent="0.3"/>
    <row r="123" s="34" customFormat="1" x14ac:dyDescent="0.3"/>
    <row r="124" s="34" customFormat="1" x14ac:dyDescent="0.3"/>
    <row r="125" s="34" customFormat="1" x14ac:dyDescent="0.3"/>
    <row r="126" s="34" customFormat="1" x14ac:dyDescent="0.3"/>
    <row r="127" s="34" customFormat="1" x14ac:dyDescent="0.3"/>
    <row r="128" s="34" customFormat="1" x14ac:dyDescent="0.3"/>
    <row r="129" s="34" customFormat="1" x14ac:dyDescent="0.3"/>
    <row r="130" s="34" customFormat="1" x14ac:dyDescent="0.3"/>
    <row r="131" s="34" customFormat="1" x14ac:dyDescent="0.3"/>
    <row r="132" s="34" customFormat="1" x14ac:dyDescent="0.3"/>
    <row r="133" s="34" customFormat="1" x14ac:dyDescent="0.3"/>
    <row r="134" s="34" customFormat="1" x14ac:dyDescent="0.3"/>
    <row r="135" s="34" customFormat="1" x14ac:dyDescent="0.3"/>
    <row r="136" s="34" customFormat="1" x14ac:dyDescent="0.3"/>
    <row r="137" s="34" customFormat="1" x14ac:dyDescent="0.3"/>
    <row r="138" s="34" customFormat="1" x14ac:dyDescent="0.3"/>
    <row r="139" s="34" customFormat="1" x14ac:dyDescent="0.3"/>
    <row r="140" s="34" customFormat="1" x14ac:dyDescent="0.3"/>
    <row r="141" s="34" customFormat="1" x14ac:dyDescent="0.3"/>
    <row r="142" s="34" customFormat="1" x14ac:dyDescent="0.3"/>
    <row r="143" s="34" customFormat="1" x14ac:dyDescent="0.3"/>
    <row r="144" s="34" customFormat="1" x14ac:dyDescent="0.3"/>
    <row r="145" s="34" customFormat="1" x14ac:dyDescent="0.3"/>
    <row r="146" s="34" customFormat="1" x14ac:dyDescent="0.3"/>
    <row r="147" s="34" customFormat="1" x14ac:dyDescent="0.3"/>
    <row r="148" s="34" customFormat="1" x14ac:dyDescent="0.3"/>
    <row r="149" s="34" customFormat="1" x14ac:dyDescent="0.3"/>
    <row r="150" s="34" customFormat="1" x14ac:dyDescent="0.3"/>
    <row r="151" s="34" customFormat="1" x14ac:dyDescent="0.3"/>
    <row r="152" s="34" customFormat="1" x14ac:dyDescent="0.3"/>
    <row r="153" s="34" customFormat="1" x14ac:dyDescent="0.3"/>
    <row r="154" s="34" customFormat="1" x14ac:dyDescent="0.3"/>
    <row r="155" s="34" customFormat="1" x14ac:dyDescent="0.3"/>
    <row r="156" s="34" customFormat="1" x14ac:dyDescent="0.3"/>
    <row r="157" s="34" customFormat="1" x14ac:dyDescent="0.3"/>
    <row r="158" s="34" customFormat="1" x14ac:dyDescent="0.3"/>
    <row r="159" s="34" customFormat="1" x14ac:dyDescent="0.3"/>
    <row r="160" s="34" customFormat="1" x14ac:dyDescent="0.3"/>
    <row r="161" s="34" customFormat="1" x14ac:dyDescent="0.3"/>
    <row r="162" s="34" customFormat="1" x14ac:dyDescent="0.3"/>
    <row r="163" s="34" customFormat="1" x14ac:dyDescent="0.3"/>
    <row r="164" s="34" customFormat="1" x14ac:dyDescent="0.3"/>
    <row r="165" s="34" customFormat="1" x14ac:dyDescent="0.3"/>
    <row r="166" s="34" customFormat="1" x14ac:dyDescent="0.3"/>
    <row r="167" s="34" customFormat="1" x14ac:dyDescent="0.3"/>
    <row r="168" s="34" customFormat="1" x14ac:dyDescent="0.3"/>
    <row r="169" s="34" customFormat="1" x14ac:dyDescent="0.3"/>
    <row r="170" s="34" customFormat="1" x14ac:dyDescent="0.3"/>
    <row r="171" s="34" customFormat="1" x14ac:dyDescent="0.3"/>
    <row r="172" s="34" customFormat="1" x14ac:dyDescent="0.3"/>
    <row r="173" s="34" customFormat="1" x14ac:dyDescent="0.3"/>
    <row r="174" s="34" customFormat="1" x14ac:dyDescent="0.3"/>
    <row r="175" s="34" customFormat="1" x14ac:dyDescent="0.3"/>
    <row r="176" s="34" customFormat="1" x14ac:dyDescent="0.3"/>
    <row r="177" s="34" customFormat="1" x14ac:dyDescent="0.3"/>
    <row r="178" s="34" customFormat="1" x14ac:dyDescent="0.3"/>
    <row r="179" s="34" customFormat="1" x14ac:dyDescent="0.3"/>
    <row r="180" s="34" customFormat="1" x14ac:dyDescent="0.3"/>
    <row r="181" s="34" customFormat="1" x14ac:dyDescent="0.3"/>
    <row r="182" s="34" customFormat="1" x14ac:dyDescent="0.3"/>
    <row r="183" s="34" customFormat="1" x14ac:dyDescent="0.3"/>
    <row r="184" s="34" customFormat="1" x14ac:dyDescent="0.3"/>
    <row r="185" s="34" customFormat="1" x14ac:dyDescent="0.3"/>
    <row r="186" s="34" customFormat="1" x14ac:dyDescent="0.3"/>
    <row r="187" s="34" customFormat="1" x14ac:dyDescent="0.3"/>
    <row r="188" s="34" customFormat="1" x14ac:dyDescent="0.3"/>
    <row r="189" s="34" customFormat="1" x14ac:dyDescent="0.3"/>
    <row r="190" s="34" customFormat="1" x14ac:dyDescent="0.3"/>
    <row r="191" s="34" customFormat="1" x14ac:dyDescent="0.3"/>
    <row r="192" s="34" customFormat="1" x14ac:dyDescent="0.3"/>
    <row r="193" s="34" customFormat="1" x14ac:dyDescent="0.3"/>
    <row r="194" s="34" customFormat="1" x14ac:dyDescent="0.3"/>
    <row r="195" s="34" customFormat="1" x14ac:dyDescent="0.3"/>
    <row r="196" s="34" customFormat="1" x14ac:dyDescent="0.3"/>
    <row r="197" s="34" customFormat="1" x14ac:dyDescent="0.3"/>
    <row r="198" s="34" customFormat="1" x14ac:dyDescent="0.3"/>
    <row r="199" s="34" customFormat="1" x14ac:dyDescent="0.3"/>
    <row r="200" s="34" customFormat="1" x14ac:dyDescent="0.3"/>
    <row r="201" s="34" customFormat="1" x14ac:dyDescent="0.3"/>
    <row r="202" s="34" customFormat="1" x14ac:dyDescent="0.3"/>
    <row r="203" s="34" customFormat="1" x14ac:dyDescent="0.3"/>
    <row r="204" s="34" customFormat="1" x14ac:dyDescent="0.3"/>
    <row r="205" s="34" customFormat="1" x14ac:dyDescent="0.3"/>
    <row r="206" s="34" customFormat="1" x14ac:dyDescent="0.3"/>
    <row r="207" s="34" customFormat="1" x14ac:dyDescent="0.3"/>
    <row r="208" s="34" customFormat="1" x14ac:dyDescent="0.3"/>
    <row r="209" s="34" customFormat="1" x14ac:dyDescent="0.3"/>
    <row r="210" s="34" customFormat="1" x14ac:dyDescent="0.3"/>
    <row r="211" s="34" customFormat="1" x14ac:dyDescent="0.3"/>
    <row r="212" s="34" customFormat="1" x14ac:dyDescent="0.3"/>
    <row r="213" s="34" customFormat="1" x14ac:dyDescent="0.3"/>
    <row r="214" s="34" customFormat="1" x14ac:dyDescent="0.3"/>
    <row r="215" s="34" customFormat="1" x14ac:dyDescent="0.3"/>
    <row r="216" s="34" customFormat="1" x14ac:dyDescent="0.3"/>
    <row r="217" s="34" customFormat="1" x14ac:dyDescent="0.3"/>
    <row r="218" s="34" customFormat="1" x14ac:dyDescent="0.3"/>
    <row r="219" s="34" customFormat="1" x14ac:dyDescent="0.3"/>
    <row r="220" s="34" customFormat="1" x14ac:dyDescent="0.3"/>
    <row r="221" s="34" customFormat="1" x14ac:dyDescent="0.3"/>
    <row r="222" s="34" customFormat="1" x14ac:dyDescent="0.3"/>
    <row r="223" s="34" customFormat="1" x14ac:dyDescent="0.3"/>
    <row r="224" s="34" customFormat="1" x14ac:dyDescent="0.3"/>
    <row r="225" s="34" customFormat="1" x14ac:dyDescent="0.3"/>
    <row r="226" s="34" customFormat="1" x14ac:dyDescent="0.3"/>
    <row r="227" s="34" customFormat="1" x14ac:dyDescent="0.3"/>
    <row r="228" s="34" customFormat="1" x14ac:dyDescent="0.3"/>
    <row r="229" s="34" customFormat="1" x14ac:dyDescent="0.3"/>
    <row r="230" s="34" customFormat="1" x14ac:dyDescent="0.3"/>
    <row r="231" s="34" customFormat="1" x14ac:dyDescent="0.3"/>
    <row r="232" s="34" customFormat="1" x14ac:dyDescent="0.3"/>
    <row r="233" s="34" customFormat="1" x14ac:dyDescent="0.3"/>
    <row r="234" s="34" customFormat="1" x14ac:dyDescent="0.3"/>
    <row r="235" s="34" customFormat="1" x14ac:dyDescent="0.3"/>
    <row r="236" s="34" customFormat="1" x14ac:dyDescent="0.3"/>
    <row r="237" s="34" customFormat="1" x14ac:dyDescent="0.3"/>
    <row r="238" s="34" customFormat="1" x14ac:dyDescent="0.3"/>
    <row r="239" s="34" customFormat="1" x14ac:dyDescent="0.3"/>
    <row r="240" s="34" customFormat="1" x14ac:dyDescent="0.3"/>
    <row r="241" s="34" customFormat="1" x14ac:dyDescent="0.3"/>
    <row r="242" s="34" customFormat="1" x14ac:dyDescent="0.3"/>
    <row r="243" s="34" customFormat="1" x14ac:dyDescent="0.3"/>
    <row r="244" s="34" customFormat="1" x14ac:dyDescent="0.3"/>
    <row r="245" s="34" customFormat="1" x14ac:dyDescent="0.3"/>
    <row r="246" s="34" customFormat="1" x14ac:dyDescent="0.3"/>
    <row r="247" s="34" customFormat="1" x14ac:dyDescent="0.3"/>
    <row r="248" s="34" customFormat="1" x14ac:dyDescent="0.3"/>
    <row r="249" s="34" customFormat="1" x14ac:dyDescent="0.3"/>
    <row r="250" s="34" customFormat="1" x14ac:dyDescent="0.3"/>
    <row r="251" s="34" customFormat="1" x14ac:dyDescent="0.3"/>
    <row r="252" s="34" customFormat="1" x14ac:dyDescent="0.3"/>
    <row r="253" s="34" customFormat="1" x14ac:dyDescent="0.3"/>
    <row r="254" s="34" customFormat="1" x14ac:dyDescent="0.3"/>
    <row r="255" s="34" customFormat="1" x14ac:dyDescent="0.3"/>
    <row r="256" s="34" customFormat="1" x14ac:dyDescent="0.3"/>
    <row r="257" s="34" customFormat="1" x14ac:dyDescent="0.3"/>
    <row r="258" s="34" customFormat="1" x14ac:dyDescent="0.3"/>
    <row r="259" s="34" customFormat="1" x14ac:dyDescent="0.3"/>
    <row r="260" s="34" customFormat="1" x14ac:dyDescent="0.3"/>
    <row r="261" s="34" customFormat="1" x14ac:dyDescent="0.3"/>
    <row r="262" s="34" customFormat="1" x14ac:dyDescent="0.3"/>
    <row r="263" s="34" customFormat="1" x14ac:dyDescent="0.3"/>
    <row r="264" s="34" customFormat="1" x14ac:dyDescent="0.3"/>
    <row r="265" s="34" customFormat="1" x14ac:dyDescent="0.3"/>
    <row r="266" s="34" customFormat="1" x14ac:dyDescent="0.3"/>
    <row r="267" s="34" customFormat="1" x14ac:dyDescent="0.3"/>
    <row r="268" s="34" customFormat="1" x14ac:dyDescent="0.3"/>
    <row r="269" s="34" customFormat="1" x14ac:dyDescent="0.3"/>
    <row r="270" s="34" customFormat="1" x14ac:dyDescent="0.3"/>
    <row r="271" s="34" customFormat="1" x14ac:dyDescent="0.3"/>
    <row r="272" s="34" customFormat="1" x14ac:dyDescent="0.3"/>
    <row r="273" s="34" customFormat="1" x14ac:dyDescent="0.3"/>
    <row r="274" s="34" customFormat="1" x14ac:dyDescent="0.3"/>
    <row r="275" s="34" customFormat="1" x14ac:dyDescent="0.3"/>
    <row r="276" s="34" customFormat="1" x14ac:dyDescent="0.3"/>
    <row r="277" s="34" customFormat="1" x14ac:dyDescent="0.3"/>
    <row r="278" s="34" customFormat="1" x14ac:dyDescent="0.3"/>
    <row r="279" s="34" customFormat="1" x14ac:dyDescent="0.3"/>
    <row r="280" s="34" customFormat="1" x14ac:dyDescent="0.3"/>
    <row r="281" s="34" customFormat="1" x14ac:dyDescent="0.3"/>
    <row r="282" s="34" customFormat="1" x14ac:dyDescent="0.3"/>
    <row r="283" s="34" customFormat="1" x14ac:dyDescent="0.3"/>
    <row r="284" s="34" customFormat="1" x14ac:dyDescent="0.3"/>
    <row r="285" s="34" customFormat="1" x14ac:dyDescent="0.3"/>
    <row r="286" s="34" customFormat="1" x14ac:dyDescent="0.3"/>
    <row r="287" s="34" customFormat="1" x14ac:dyDescent="0.3"/>
    <row r="288" s="34" customFormat="1" x14ac:dyDescent="0.3"/>
    <row r="289" s="34" customFormat="1" x14ac:dyDescent="0.3"/>
    <row r="290" s="34" customFormat="1" x14ac:dyDescent="0.3"/>
    <row r="291" s="34" customFormat="1" x14ac:dyDescent="0.3"/>
    <row r="292" s="34" customFormat="1" x14ac:dyDescent="0.3"/>
    <row r="293" s="34" customFormat="1" x14ac:dyDescent="0.3"/>
    <row r="294" s="34" customFormat="1" x14ac:dyDescent="0.3"/>
    <row r="295" s="34" customFormat="1" x14ac:dyDescent="0.3"/>
    <row r="296" s="34" customFormat="1" x14ac:dyDescent="0.3"/>
    <row r="297" s="34" customFormat="1" x14ac:dyDescent="0.3"/>
    <row r="298" s="34" customFormat="1" x14ac:dyDescent="0.3"/>
    <row r="299" s="34" customFormat="1" x14ac:dyDescent="0.3"/>
    <row r="300" s="34" customFormat="1" x14ac:dyDescent="0.3"/>
    <row r="301" s="34" customFormat="1" x14ac:dyDescent="0.3"/>
    <row r="302" s="34" customFormat="1" x14ac:dyDescent="0.3"/>
    <row r="303" s="34" customFormat="1" x14ac:dyDescent="0.3"/>
    <row r="304" s="34" customFormat="1" x14ac:dyDescent="0.3"/>
    <row r="305" s="34" customFormat="1" x14ac:dyDescent="0.3"/>
    <row r="306" s="34" customFormat="1" x14ac:dyDescent="0.3"/>
    <row r="307" s="34" customFormat="1" x14ac:dyDescent="0.3"/>
    <row r="308" s="34" customFormat="1" x14ac:dyDescent="0.3"/>
    <row r="309" s="34" customFormat="1" x14ac:dyDescent="0.3"/>
    <row r="310" s="34" customFormat="1" x14ac:dyDescent="0.3"/>
    <row r="311" s="34" customFormat="1" x14ac:dyDescent="0.3"/>
    <row r="312" s="34" customFormat="1" x14ac:dyDescent="0.3"/>
    <row r="313" s="34" customFormat="1" x14ac:dyDescent="0.3"/>
    <row r="314" s="34" customFormat="1" x14ac:dyDescent="0.3"/>
    <row r="315" s="34" customFormat="1" x14ac:dyDescent="0.3"/>
    <row r="316" s="34" customFormat="1" x14ac:dyDescent="0.3"/>
    <row r="317" s="34" customFormat="1" x14ac:dyDescent="0.3"/>
    <row r="318" s="34" customFormat="1" x14ac:dyDescent="0.3"/>
    <row r="319" s="34" customFormat="1" x14ac:dyDescent="0.3"/>
    <row r="320" s="34" customFormat="1" x14ac:dyDescent="0.3"/>
    <row r="321" s="34" customFormat="1" x14ac:dyDescent="0.3"/>
    <row r="322" s="34" customFormat="1" x14ac:dyDescent="0.3"/>
    <row r="323" s="34" customFormat="1" x14ac:dyDescent="0.3"/>
    <row r="324" s="34" customFormat="1" x14ac:dyDescent="0.3"/>
    <row r="325" s="34" customFormat="1" x14ac:dyDescent="0.3"/>
    <row r="326" s="34" customFormat="1" x14ac:dyDescent="0.3"/>
    <row r="327" s="34" customFormat="1" x14ac:dyDescent="0.3"/>
    <row r="328" s="34" customFormat="1" x14ac:dyDescent="0.3"/>
    <row r="329" s="34" customFormat="1" x14ac:dyDescent="0.3"/>
    <row r="330" s="34" customFormat="1" x14ac:dyDescent="0.3"/>
    <row r="331" s="34" customFormat="1" x14ac:dyDescent="0.3"/>
    <row r="332" s="34" customFormat="1" x14ac:dyDescent="0.3"/>
    <row r="333" s="34" customFormat="1" x14ac:dyDescent="0.3"/>
    <row r="334" s="34" customFormat="1" x14ac:dyDescent="0.3"/>
    <row r="335" s="34" customFormat="1" x14ac:dyDescent="0.3"/>
    <row r="336" s="34" customFormat="1" x14ac:dyDescent="0.3"/>
    <row r="337" s="34" customFormat="1" x14ac:dyDescent="0.3"/>
    <row r="338" s="34" customFormat="1" x14ac:dyDescent="0.3"/>
    <row r="339" s="34" customFormat="1" x14ac:dyDescent="0.3"/>
    <row r="340" s="34" customFormat="1" x14ac:dyDescent="0.3"/>
    <row r="341" s="34" customFormat="1" x14ac:dyDescent="0.3"/>
    <row r="342" s="34" customFormat="1" x14ac:dyDescent="0.3"/>
    <row r="343" s="34" customFormat="1" x14ac:dyDescent="0.3"/>
    <row r="344" s="34" customFormat="1" x14ac:dyDescent="0.3"/>
    <row r="345" s="34" customFormat="1" x14ac:dyDescent="0.3"/>
    <row r="346" s="34" customFormat="1" x14ac:dyDescent="0.3"/>
    <row r="347" s="34" customFormat="1" x14ac:dyDescent="0.3"/>
    <row r="348" s="34" customFormat="1" x14ac:dyDescent="0.3"/>
    <row r="349" s="34" customFormat="1" x14ac:dyDescent="0.3"/>
    <row r="350" s="34" customFormat="1" x14ac:dyDescent="0.3"/>
    <row r="351" s="34" customFormat="1" x14ac:dyDescent="0.3"/>
    <row r="352" s="34" customFormat="1" x14ac:dyDescent="0.3"/>
    <row r="353" s="34" customFormat="1" x14ac:dyDescent="0.3"/>
    <row r="354" s="34" customFormat="1" x14ac:dyDescent="0.3"/>
    <row r="355" s="34" customFormat="1" x14ac:dyDescent="0.3"/>
    <row r="356" s="34" customFormat="1" x14ac:dyDescent="0.3"/>
    <row r="357" s="34" customFormat="1" x14ac:dyDescent="0.3"/>
    <row r="358" s="34" customFormat="1" x14ac:dyDescent="0.3"/>
    <row r="359" s="34" customFormat="1" x14ac:dyDescent="0.3"/>
    <row r="360" s="34" customFormat="1" x14ac:dyDescent="0.3"/>
    <row r="361" s="34" customFormat="1" x14ac:dyDescent="0.3"/>
    <row r="362" s="34" customFormat="1" x14ac:dyDescent="0.3"/>
    <row r="363" s="34" customFormat="1" x14ac:dyDescent="0.3"/>
    <row r="364" s="34" customFormat="1" x14ac:dyDescent="0.3"/>
    <row r="365" s="34" customFormat="1" x14ac:dyDescent="0.3"/>
    <row r="366" s="34" customFormat="1" x14ac:dyDescent="0.3"/>
    <row r="367" s="34" customFormat="1" x14ac:dyDescent="0.3"/>
    <row r="368" s="34" customFormat="1" x14ac:dyDescent="0.3"/>
    <row r="369" s="34" customFormat="1" x14ac:dyDescent="0.3"/>
    <row r="370" s="34" customFormat="1" x14ac:dyDescent="0.3"/>
    <row r="371" s="34" customFormat="1" x14ac:dyDescent="0.3"/>
    <row r="372" s="34" customFormat="1" x14ac:dyDescent="0.3"/>
    <row r="373" s="34" customFormat="1" x14ac:dyDescent="0.3"/>
    <row r="374" s="34" customFormat="1" x14ac:dyDescent="0.3"/>
    <row r="375" s="34" customFormat="1" x14ac:dyDescent="0.3"/>
    <row r="376" s="34" customFormat="1" x14ac:dyDescent="0.3"/>
    <row r="377" s="34" customFormat="1" x14ac:dyDescent="0.3"/>
    <row r="378" s="34" customFormat="1" x14ac:dyDescent="0.3"/>
    <row r="379" s="34" customFormat="1" x14ac:dyDescent="0.3"/>
    <row r="380" s="34" customFormat="1" x14ac:dyDescent="0.3"/>
    <row r="381" s="34" customFormat="1" x14ac:dyDescent="0.3"/>
    <row r="382" s="34" customFormat="1" x14ac:dyDescent="0.3"/>
    <row r="383" s="34" customFormat="1" x14ac:dyDescent="0.3"/>
    <row r="384" s="34" customFormat="1" x14ac:dyDescent="0.3"/>
    <row r="385" s="34" customFormat="1" x14ac:dyDescent="0.3"/>
    <row r="386" s="34" customFormat="1" x14ac:dyDescent="0.3"/>
    <row r="387" s="34" customFormat="1" x14ac:dyDescent="0.3"/>
    <row r="388" s="34" customFormat="1" x14ac:dyDescent="0.3"/>
    <row r="389" s="34" customFormat="1" x14ac:dyDescent="0.3"/>
    <row r="390" s="34" customFormat="1" x14ac:dyDescent="0.3"/>
    <row r="391" s="34" customFormat="1" x14ac:dyDescent="0.3"/>
    <row r="392" s="34" customFormat="1" x14ac:dyDescent="0.3"/>
    <row r="393" s="34" customFormat="1" x14ac:dyDescent="0.3"/>
    <row r="394" s="34" customFormat="1" x14ac:dyDescent="0.3"/>
    <row r="395" s="34" customFormat="1" x14ac:dyDescent="0.3"/>
    <row r="396" s="34" customFormat="1" x14ac:dyDescent="0.3"/>
    <row r="397" s="34" customFormat="1" x14ac:dyDescent="0.3"/>
    <row r="398" s="34" customFormat="1" x14ac:dyDescent="0.3"/>
    <row r="399" s="34" customFormat="1" x14ac:dyDescent="0.3"/>
    <row r="400" s="34" customFormat="1" x14ac:dyDescent="0.3"/>
    <row r="401" s="34" customFormat="1" x14ac:dyDescent="0.3"/>
    <row r="402" s="34" customFormat="1" x14ac:dyDescent="0.3"/>
    <row r="403" s="34" customFormat="1" x14ac:dyDescent="0.3"/>
    <row r="404" s="34" customFormat="1" x14ac:dyDescent="0.3"/>
    <row r="405" s="34" customFormat="1" x14ac:dyDescent="0.3"/>
    <row r="406" s="34" customFormat="1" x14ac:dyDescent="0.3"/>
    <row r="407" s="34" customFormat="1" x14ac:dyDescent="0.3"/>
    <row r="408" s="34" customFormat="1" x14ac:dyDescent="0.3"/>
    <row r="409" s="34" customFormat="1" x14ac:dyDescent="0.3"/>
    <row r="410" s="34" customFormat="1" x14ac:dyDescent="0.3"/>
    <row r="411" s="34" customFormat="1" x14ac:dyDescent="0.3"/>
    <row r="412" s="34" customFormat="1" x14ac:dyDescent="0.3"/>
    <row r="413" s="34" customFormat="1" x14ac:dyDescent="0.3"/>
    <row r="414" s="34" customFormat="1" x14ac:dyDescent="0.3"/>
    <row r="415" s="34" customFormat="1" x14ac:dyDescent="0.3"/>
    <row r="416" s="34" customFormat="1" x14ac:dyDescent="0.3"/>
    <row r="417" s="34" customFormat="1" x14ac:dyDescent="0.3"/>
    <row r="418" s="34" customFormat="1" x14ac:dyDescent="0.3"/>
    <row r="419" s="34" customFormat="1" x14ac:dyDescent="0.3"/>
    <row r="420" s="34" customFormat="1" x14ac:dyDescent="0.3"/>
    <row r="421" s="34" customFormat="1" x14ac:dyDescent="0.3"/>
    <row r="422" s="34" customFormat="1" x14ac:dyDescent="0.3"/>
    <row r="423" s="34" customFormat="1" x14ac:dyDescent="0.3"/>
    <row r="424" s="34" customFormat="1" x14ac:dyDescent="0.3"/>
    <row r="425" s="34" customFormat="1" x14ac:dyDescent="0.3"/>
    <row r="426" s="34" customFormat="1" x14ac:dyDescent="0.3"/>
    <row r="427" s="34" customFormat="1" x14ac:dyDescent="0.3"/>
    <row r="428" s="34" customFormat="1" x14ac:dyDescent="0.3"/>
    <row r="429" s="34" customFormat="1" x14ac:dyDescent="0.3"/>
    <row r="430" s="34" customFormat="1" x14ac:dyDescent="0.3"/>
    <row r="431" s="34" customFormat="1" x14ac:dyDescent="0.3"/>
    <row r="432" s="34" customFormat="1" x14ac:dyDescent="0.3"/>
    <row r="433" s="34" customFormat="1" x14ac:dyDescent="0.3"/>
    <row r="434" s="34" customFormat="1" x14ac:dyDescent="0.3"/>
    <row r="435" s="34" customFormat="1" x14ac:dyDescent="0.3"/>
    <row r="436" s="34" customFormat="1" x14ac:dyDescent="0.3"/>
    <row r="437" s="34" customFormat="1" x14ac:dyDescent="0.3"/>
    <row r="438" s="34" customFormat="1" x14ac:dyDescent="0.3"/>
    <row r="439" s="34" customFormat="1" x14ac:dyDescent="0.3"/>
    <row r="440" s="34" customFormat="1" x14ac:dyDescent="0.3"/>
    <row r="441" s="34" customFormat="1" x14ac:dyDescent="0.3"/>
  </sheetData>
  <conditionalFormatting sqref="C1:N3 C97:N1048576 D4:N4">
    <cfRule type="colorScale" priority="1">
      <colorScale>
        <cfvo type="num" val="-1"/>
        <cfvo type="num" val="0"/>
        <cfvo type="num" val="1"/>
        <color rgb="FFF8696B"/>
        <color rgb="FFFFEB84"/>
        <color rgb="FF92D05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22F2-2722-4035-8EE8-20BA764D280D}">
  <dimension ref="B1:S441"/>
  <sheetViews>
    <sheetView zoomScale="110" zoomScaleNormal="110" workbookViewId="0">
      <selection activeCell="Q58" sqref="C58:Q58"/>
    </sheetView>
  </sheetViews>
  <sheetFormatPr baseColWidth="10" defaultRowHeight="14.4" x14ac:dyDescent="0.3"/>
  <cols>
    <col min="1" max="1" width="11.5546875" style="34"/>
    <col min="2" max="2" width="30.109375" style="34" bestFit="1" customWidth="1"/>
    <col min="3" max="3" width="15.77734375" style="45" bestFit="1" customWidth="1"/>
    <col min="4" max="4" width="9" style="45" bestFit="1" customWidth="1"/>
    <col min="5" max="5" width="8.109375" style="45" bestFit="1" customWidth="1"/>
    <col min="6" max="6" width="9.109375" style="45" bestFit="1" customWidth="1"/>
    <col min="7" max="8" width="9" style="45" bestFit="1" customWidth="1"/>
    <col min="9" max="10" width="9.109375" style="45" bestFit="1" customWidth="1"/>
    <col min="11" max="11" width="9" style="34" bestFit="1" customWidth="1"/>
    <col min="12" max="15" width="9.109375" style="34" bestFit="1" customWidth="1"/>
    <col min="16" max="18" width="9" style="34" bestFit="1" customWidth="1"/>
    <col min="19" max="19" width="9.109375" style="34" bestFit="1" customWidth="1"/>
    <col min="20" max="27" width="10.6640625" style="34" bestFit="1" customWidth="1"/>
    <col min="28" max="33" width="9.6640625" style="34" bestFit="1" customWidth="1"/>
    <col min="34" max="43" width="10.6640625" style="34" bestFit="1" customWidth="1"/>
    <col min="44" max="48" width="9.6640625" style="34" bestFit="1" customWidth="1"/>
    <col min="49" max="55" width="10.6640625" style="34" bestFit="1" customWidth="1"/>
    <col min="56" max="59" width="9.6640625" style="34" bestFit="1" customWidth="1"/>
    <col min="60" max="78" width="10.6640625" style="34" bestFit="1" customWidth="1"/>
    <col min="79" max="84" width="9.6640625" style="34" bestFit="1" customWidth="1"/>
    <col min="85" max="91" width="10.6640625" style="34" bestFit="1" customWidth="1"/>
    <col min="92" max="95" width="9.6640625" style="34" bestFit="1" customWidth="1"/>
    <col min="96" max="108" width="10.6640625" style="34" bestFit="1" customWidth="1"/>
    <col min="109" max="113" width="9.6640625" style="34" bestFit="1" customWidth="1"/>
    <col min="114" max="121" width="10.6640625" style="34" bestFit="1" customWidth="1"/>
    <col min="122" max="123" width="9.6640625" style="34" bestFit="1" customWidth="1"/>
    <col min="124" max="129" width="10.6640625" style="34" bestFit="1" customWidth="1"/>
    <col min="130" max="132" width="9.6640625" style="34" bestFit="1" customWidth="1"/>
    <col min="133" max="143" width="10.6640625" style="34" bestFit="1" customWidth="1"/>
    <col min="144" max="150" width="9.6640625" style="34" bestFit="1" customWidth="1"/>
    <col min="151" max="158" width="10.6640625" style="34" bestFit="1" customWidth="1"/>
    <col min="159" max="164" width="9.6640625" style="34" bestFit="1" customWidth="1"/>
    <col min="165" max="176" width="10.6640625" style="34" bestFit="1" customWidth="1"/>
    <col min="177" max="181" width="9.6640625" style="34" bestFit="1" customWidth="1"/>
    <col min="182" max="192" width="10.6640625" style="34" bestFit="1" customWidth="1"/>
    <col min="193" max="196" width="9.6640625" style="34" bestFit="1" customWidth="1"/>
    <col min="197" max="205" width="10.6640625" style="34" bestFit="1" customWidth="1"/>
    <col min="206" max="209" width="9.6640625" style="34" bestFit="1" customWidth="1"/>
    <col min="210" max="223" width="10.6640625" style="34" bestFit="1" customWidth="1"/>
    <col min="224" max="229" width="9.6640625" style="34" bestFit="1" customWidth="1"/>
    <col min="230" max="241" width="10.6640625" style="34" bestFit="1" customWidth="1"/>
    <col min="242" max="250" width="9.6640625" style="34" bestFit="1" customWidth="1"/>
    <col min="251" max="266" width="10.6640625" style="34" bestFit="1" customWidth="1"/>
    <col min="267" max="275" width="9.6640625" style="34" bestFit="1" customWidth="1"/>
    <col min="276" max="293" width="10.6640625" style="34" bestFit="1" customWidth="1"/>
    <col min="294" max="301" width="9.6640625" style="34" bestFit="1" customWidth="1"/>
    <col min="302" max="322" width="10.6640625" style="34" bestFit="1" customWidth="1"/>
    <col min="323" max="330" width="9.6640625" style="34" bestFit="1" customWidth="1"/>
    <col min="331" max="340" width="10.6640625" style="34" bestFit="1" customWidth="1"/>
    <col min="341" max="341" width="11" style="34" bestFit="1" customWidth="1"/>
    <col min="342" max="16384" width="11.5546875" style="34"/>
  </cols>
  <sheetData>
    <row r="1" spans="2:19" x14ac:dyDescent="0.3">
      <c r="B1"/>
      <c r="C1"/>
    </row>
    <row r="3" spans="2:19" ht="28.8" x14ac:dyDescent="0.3">
      <c r="B3" s="46" t="s">
        <v>557</v>
      </c>
      <c r="C3" s="46" t="s">
        <v>543</v>
      </c>
      <c r="D3" s="34"/>
      <c r="E3" s="34"/>
      <c r="F3" s="34"/>
      <c r="G3" s="34"/>
      <c r="H3" s="34"/>
      <c r="I3" s="34"/>
      <c r="J3" s="34"/>
      <c r="S3"/>
    </row>
    <row r="4" spans="2:19" ht="28.8" x14ac:dyDescent="0.3">
      <c r="C4" s="34" t="s">
        <v>1267</v>
      </c>
      <c r="D4" s="34"/>
      <c r="E4" s="34"/>
      <c r="F4" s="34"/>
      <c r="G4" s="34"/>
      <c r="H4" s="34"/>
      <c r="I4" s="34"/>
      <c r="J4" s="34"/>
      <c r="O4" s="34" t="s">
        <v>1271</v>
      </c>
      <c r="P4" s="34" t="s">
        <v>1268</v>
      </c>
      <c r="R4" s="34" t="s">
        <v>1272</v>
      </c>
      <c r="S4"/>
    </row>
    <row r="5" spans="2:19" x14ac:dyDescent="0.3">
      <c r="B5" s="46" t="s">
        <v>541</v>
      </c>
      <c r="C5" s="34" t="s">
        <v>860</v>
      </c>
      <c r="D5" s="34" t="s">
        <v>861</v>
      </c>
      <c r="E5" s="34" t="s">
        <v>862</v>
      </c>
      <c r="F5" s="34" t="s">
        <v>863</v>
      </c>
      <c r="G5" s="34" t="s">
        <v>864</v>
      </c>
      <c r="H5" s="34" t="s">
        <v>865</v>
      </c>
      <c r="I5" s="34" t="s">
        <v>866</v>
      </c>
      <c r="J5" s="34" t="s">
        <v>867</v>
      </c>
      <c r="K5" s="34" t="s">
        <v>868</v>
      </c>
      <c r="L5" s="34" t="s">
        <v>957</v>
      </c>
      <c r="M5" s="34" t="s">
        <v>1058</v>
      </c>
      <c r="N5" s="34" t="s">
        <v>1132</v>
      </c>
      <c r="P5" s="34" t="s">
        <v>860</v>
      </c>
      <c r="Q5" s="34" t="s">
        <v>861</v>
      </c>
      <c r="S5"/>
    </row>
    <row r="6" spans="2:19" x14ac:dyDescent="0.3">
      <c r="B6" s="34" t="s">
        <v>194</v>
      </c>
      <c r="C6" s="47">
        <v>4149</v>
      </c>
      <c r="D6" s="47">
        <v>-3470</v>
      </c>
      <c r="E6" s="47">
        <v>-684</v>
      </c>
      <c r="F6" s="47">
        <v>1888</v>
      </c>
      <c r="G6" s="47">
        <v>-307</v>
      </c>
      <c r="H6" s="47">
        <v>-2576</v>
      </c>
      <c r="I6" s="47">
        <v>656</v>
      </c>
      <c r="J6" s="47">
        <v>265</v>
      </c>
      <c r="K6" s="47">
        <v>8955.7999999999993</v>
      </c>
      <c r="L6" s="47">
        <v>-9298</v>
      </c>
      <c r="M6" s="47">
        <v>421</v>
      </c>
      <c r="N6" s="47">
        <v>0</v>
      </c>
      <c r="O6" s="47">
        <v>-0.2000000000007276</v>
      </c>
      <c r="P6" s="47">
        <v>6512</v>
      </c>
      <c r="Q6" s="47">
        <v>0</v>
      </c>
      <c r="R6" s="47">
        <v>6512</v>
      </c>
      <c r="S6"/>
    </row>
    <row r="7" spans="2:19" x14ac:dyDescent="0.3">
      <c r="B7" s="34" t="s">
        <v>57</v>
      </c>
      <c r="C7" s="47">
        <v>-1500</v>
      </c>
      <c r="D7" s="47">
        <v>-2227.42</v>
      </c>
      <c r="E7" s="47">
        <v>-571.63</v>
      </c>
      <c r="F7" s="47">
        <v>-8339.99</v>
      </c>
      <c r="G7" s="47">
        <v>-3257.7299999999996</v>
      </c>
      <c r="H7" s="47">
        <v>-324.57000000000005</v>
      </c>
      <c r="I7" s="47">
        <v>13358.46</v>
      </c>
      <c r="J7" s="47">
        <v>-3235.05</v>
      </c>
      <c r="K7" s="47">
        <v>-3976.3700000000003</v>
      </c>
      <c r="L7" s="47">
        <v>10912.82</v>
      </c>
      <c r="M7" s="47">
        <v>36938.410000000003</v>
      </c>
      <c r="N7" s="47">
        <v>-44391.270000000004</v>
      </c>
      <c r="O7" s="47">
        <v>-6614.3399999999965</v>
      </c>
      <c r="P7" s="47">
        <v>-668.07</v>
      </c>
      <c r="Q7" s="47">
        <v>-6408.3700000000008</v>
      </c>
      <c r="R7" s="47">
        <v>-7076.4400000000005</v>
      </c>
      <c r="S7"/>
    </row>
    <row r="8" spans="2:19" x14ac:dyDescent="0.3">
      <c r="B8" s="48" t="s">
        <v>200</v>
      </c>
      <c r="C8" s="47">
        <v>0</v>
      </c>
      <c r="D8" s="47">
        <v>0</v>
      </c>
      <c r="E8" s="47">
        <v>-59</v>
      </c>
      <c r="F8" s="47">
        <v>-59</v>
      </c>
      <c r="G8" s="47">
        <v>-59</v>
      </c>
      <c r="H8" s="47">
        <v>-59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-236</v>
      </c>
      <c r="P8" s="47">
        <v>0</v>
      </c>
      <c r="Q8" s="47">
        <v>-39.39</v>
      </c>
      <c r="R8" s="47">
        <v>-39.39</v>
      </c>
      <c r="S8"/>
    </row>
    <row r="9" spans="2:19" x14ac:dyDescent="0.3">
      <c r="B9" s="48" t="s">
        <v>202</v>
      </c>
      <c r="C9" s="47">
        <v>0</v>
      </c>
      <c r="D9" s="47">
        <v>-20</v>
      </c>
      <c r="E9" s="47">
        <v>-92.63</v>
      </c>
      <c r="F9" s="47">
        <v>-12.96</v>
      </c>
      <c r="G9" s="47">
        <v>-20</v>
      </c>
      <c r="H9" s="47">
        <v>0</v>
      </c>
      <c r="I9" s="47">
        <v>0</v>
      </c>
      <c r="J9" s="47">
        <v>-20</v>
      </c>
      <c r="K9" s="47">
        <v>-20</v>
      </c>
      <c r="L9" s="47">
        <v>0</v>
      </c>
      <c r="M9" s="47">
        <v>0</v>
      </c>
      <c r="N9" s="47">
        <v>0</v>
      </c>
      <c r="O9" s="47">
        <v>-185.59</v>
      </c>
      <c r="P9" s="47">
        <v>0</v>
      </c>
      <c r="Q9" s="47">
        <v>0</v>
      </c>
      <c r="R9" s="47">
        <v>0</v>
      </c>
      <c r="S9"/>
    </row>
    <row r="10" spans="2:19" x14ac:dyDescent="0.3">
      <c r="B10" s="48" t="s">
        <v>343</v>
      </c>
      <c r="C10" s="47">
        <v>0</v>
      </c>
      <c r="D10" s="47">
        <v>0</v>
      </c>
      <c r="E10" s="47">
        <v>0</v>
      </c>
      <c r="F10" s="47">
        <v>0</v>
      </c>
      <c r="G10" s="47">
        <v>-20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7">
        <v>-20</v>
      </c>
      <c r="P10" s="47">
        <v>0</v>
      </c>
      <c r="Q10" s="47">
        <v>0</v>
      </c>
      <c r="R10" s="47">
        <v>0</v>
      </c>
      <c r="S10"/>
    </row>
    <row r="11" spans="2:19" x14ac:dyDescent="0.3">
      <c r="B11" s="48" t="s">
        <v>72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-20</v>
      </c>
      <c r="I11" s="47">
        <v>0</v>
      </c>
      <c r="J11" s="47">
        <v>0</v>
      </c>
      <c r="K11" s="47">
        <v>0</v>
      </c>
      <c r="L11" s="47">
        <v>-20</v>
      </c>
      <c r="M11" s="47">
        <v>0</v>
      </c>
      <c r="N11" s="47">
        <v>0</v>
      </c>
      <c r="O11" s="47">
        <v>-40</v>
      </c>
      <c r="P11" s="47">
        <v>0</v>
      </c>
      <c r="Q11" s="47">
        <v>0</v>
      </c>
      <c r="R11" s="47">
        <v>0</v>
      </c>
      <c r="S11"/>
    </row>
    <row r="12" spans="2:19" x14ac:dyDescent="0.3">
      <c r="B12" s="48" t="s">
        <v>517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-20</v>
      </c>
      <c r="J12" s="47">
        <v>-20</v>
      </c>
      <c r="K12" s="47">
        <v>-20</v>
      </c>
      <c r="L12" s="47">
        <v>-20</v>
      </c>
      <c r="M12" s="47">
        <v>-20</v>
      </c>
      <c r="N12" s="47">
        <v>0</v>
      </c>
      <c r="O12" s="47">
        <v>-100</v>
      </c>
      <c r="P12" s="47">
        <v>0</v>
      </c>
      <c r="Q12" s="47">
        <v>0</v>
      </c>
      <c r="R12" s="47">
        <v>0</v>
      </c>
      <c r="S12"/>
    </row>
    <row r="13" spans="2:19" x14ac:dyDescent="0.3">
      <c r="B13" s="48" t="s">
        <v>245</v>
      </c>
      <c r="C13" s="47">
        <v>0</v>
      </c>
      <c r="D13" s="47">
        <v>0</v>
      </c>
      <c r="E13" s="47">
        <v>0</v>
      </c>
      <c r="F13" s="47">
        <v>-1073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-1073</v>
      </c>
      <c r="P13" s="47">
        <v>0</v>
      </c>
      <c r="Q13" s="47">
        <v>0</v>
      </c>
      <c r="R13" s="47">
        <v>0</v>
      </c>
      <c r="S13"/>
    </row>
    <row r="14" spans="2:19" x14ac:dyDescent="0.3">
      <c r="B14" s="48" t="s">
        <v>282</v>
      </c>
      <c r="C14" s="47">
        <v>0</v>
      </c>
      <c r="D14" s="47">
        <v>0</v>
      </c>
      <c r="E14" s="47">
        <v>0</v>
      </c>
      <c r="F14" s="47">
        <v>-20</v>
      </c>
      <c r="G14" s="47">
        <v>-20</v>
      </c>
      <c r="H14" s="47">
        <v>-25.54</v>
      </c>
      <c r="I14" s="47">
        <v>-43.370000000000005</v>
      </c>
      <c r="J14" s="47">
        <v>-143.18</v>
      </c>
      <c r="K14" s="47">
        <v>-113.68</v>
      </c>
      <c r="L14" s="47">
        <v>-39.28</v>
      </c>
      <c r="M14" s="47">
        <v>0</v>
      </c>
      <c r="N14" s="47">
        <v>-20</v>
      </c>
      <c r="O14" s="47">
        <v>-425.04999999999995</v>
      </c>
      <c r="P14" s="47">
        <v>-84.61</v>
      </c>
      <c r="Q14" s="47">
        <v>-175.04</v>
      </c>
      <c r="R14" s="47">
        <v>-259.64999999999998</v>
      </c>
      <c r="S14"/>
    </row>
    <row r="15" spans="2:19" x14ac:dyDescent="0.3">
      <c r="B15" s="48" t="s">
        <v>224</v>
      </c>
      <c r="C15" s="47">
        <v>0</v>
      </c>
      <c r="D15" s="47">
        <v>0</v>
      </c>
      <c r="E15" s="47">
        <v>-379</v>
      </c>
      <c r="F15" s="47">
        <v>-5583</v>
      </c>
      <c r="G15" s="47">
        <v>0</v>
      </c>
      <c r="H15" s="47">
        <v>0</v>
      </c>
      <c r="I15" s="47">
        <v>0</v>
      </c>
      <c r="J15" s="47">
        <v>0</v>
      </c>
      <c r="K15" s="47">
        <v>-160.82999999999998</v>
      </c>
      <c r="L15" s="47">
        <v>0</v>
      </c>
      <c r="M15" s="47">
        <v>0</v>
      </c>
      <c r="N15" s="47">
        <v>0</v>
      </c>
      <c r="O15" s="47">
        <v>-6122.83</v>
      </c>
      <c r="P15" s="47">
        <v>0</v>
      </c>
      <c r="Q15" s="47">
        <v>0</v>
      </c>
      <c r="R15" s="47">
        <v>0</v>
      </c>
      <c r="S15"/>
    </row>
    <row r="16" spans="2:19" x14ac:dyDescent="0.3">
      <c r="B16" s="48" t="s">
        <v>191</v>
      </c>
      <c r="C16" s="47">
        <v>0</v>
      </c>
      <c r="D16" s="47">
        <v>-14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-14</v>
      </c>
      <c r="P16" s="47">
        <v>0</v>
      </c>
      <c r="Q16" s="47">
        <v>0</v>
      </c>
      <c r="R16" s="47">
        <v>0</v>
      </c>
      <c r="S16"/>
    </row>
    <row r="17" spans="2:19" x14ac:dyDescent="0.3">
      <c r="B17" s="48" t="s">
        <v>514</v>
      </c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-55.75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-55.75</v>
      </c>
      <c r="P17" s="47">
        <v>0</v>
      </c>
      <c r="Q17" s="47">
        <v>0</v>
      </c>
      <c r="R17" s="47">
        <v>0</v>
      </c>
      <c r="S17"/>
    </row>
    <row r="18" spans="2:19" x14ac:dyDescent="0.3">
      <c r="B18" s="48" t="s">
        <v>131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-38.380000000000003</v>
      </c>
      <c r="O18" s="47">
        <v>-38.380000000000003</v>
      </c>
      <c r="P18" s="47">
        <v>-38.380000000000003</v>
      </c>
      <c r="Q18" s="47">
        <v>-38.380000000000003</v>
      </c>
      <c r="R18" s="47">
        <v>-76.760000000000005</v>
      </c>
      <c r="S18"/>
    </row>
    <row r="19" spans="2:19" x14ac:dyDescent="0.3">
      <c r="B19" s="48" t="s">
        <v>193</v>
      </c>
      <c r="C19" s="47">
        <v>0</v>
      </c>
      <c r="D19" s="47">
        <v>0</v>
      </c>
      <c r="E19" s="47">
        <v>0</v>
      </c>
      <c r="F19" s="47">
        <v>-48.7</v>
      </c>
      <c r="G19" s="47">
        <v>-49.73</v>
      </c>
      <c r="H19" s="47">
        <v>-50.82</v>
      </c>
      <c r="I19" s="47">
        <v>-50.31</v>
      </c>
      <c r="J19" s="47">
        <v>-51.64</v>
      </c>
      <c r="K19" s="47">
        <v>-52.5</v>
      </c>
      <c r="L19" s="47">
        <v>-52</v>
      </c>
      <c r="M19" s="47">
        <v>0</v>
      </c>
      <c r="N19" s="47">
        <v>-52.47</v>
      </c>
      <c r="O19" s="47">
        <v>-408.16999999999996</v>
      </c>
      <c r="P19" s="47">
        <v>-104.34</v>
      </c>
      <c r="Q19" s="47">
        <v>0</v>
      </c>
      <c r="R19" s="47">
        <v>-104.34</v>
      </c>
      <c r="S19"/>
    </row>
    <row r="20" spans="2:19" x14ac:dyDescent="0.3">
      <c r="B20" s="48" t="s">
        <v>70</v>
      </c>
      <c r="C20" s="47">
        <v>0</v>
      </c>
      <c r="D20" s="47">
        <v>-33.42</v>
      </c>
      <c r="E20" s="47">
        <v>-41</v>
      </c>
      <c r="F20" s="47">
        <v>-51.33</v>
      </c>
      <c r="G20" s="47">
        <v>-106.86999999999999</v>
      </c>
      <c r="H20" s="47">
        <v>-89.830000000000013</v>
      </c>
      <c r="I20" s="47">
        <v>-88.05</v>
      </c>
      <c r="J20" s="47">
        <v>-52.56</v>
      </c>
      <c r="K20" s="47">
        <v>-28.54</v>
      </c>
      <c r="L20" s="47">
        <v>-48.8</v>
      </c>
      <c r="M20" s="47">
        <v>-60.980000000000004</v>
      </c>
      <c r="N20" s="47">
        <v>-151.72</v>
      </c>
      <c r="O20" s="47">
        <v>-753.1</v>
      </c>
      <c r="P20" s="47">
        <v>-165.41000000000003</v>
      </c>
      <c r="Q20" s="47">
        <v>-169.64000000000001</v>
      </c>
      <c r="R20" s="47">
        <v>-335.05</v>
      </c>
      <c r="S20"/>
    </row>
    <row r="21" spans="2:19" x14ac:dyDescent="0.3">
      <c r="B21" s="48" t="s">
        <v>186</v>
      </c>
      <c r="C21" s="47">
        <v>-24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-24</v>
      </c>
      <c r="P21" s="47">
        <v>0</v>
      </c>
      <c r="Q21" s="47">
        <v>0</v>
      </c>
      <c r="R21" s="47">
        <v>0</v>
      </c>
      <c r="S21"/>
    </row>
    <row r="22" spans="2:19" x14ac:dyDescent="0.3">
      <c r="B22" s="48" t="s">
        <v>515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-180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-180</v>
      </c>
      <c r="P22" s="47">
        <v>0</v>
      </c>
      <c r="Q22" s="47">
        <v>0</v>
      </c>
      <c r="R22" s="47">
        <v>0</v>
      </c>
      <c r="S22"/>
    </row>
    <row r="23" spans="2:19" x14ac:dyDescent="0.3">
      <c r="B23" s="48" t="s">
        <v>383</v>
      </c>
      <c r="C23" s="47">
        <v>0</v>
      </c>
      <c r="D23" s="47">
        <v>0</v>
      </c>
      <c r="E23" s="47">
        <v>0</v>
      </c>
      <c r="F23" s="47">
        <v>0</v>
      </c>
      <c r="G23" s="47">
        <v>-23.23</v>
      </c>
      <c r="H23" s="47">
        <v>-23.63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-46.86</v>
      </c>
      <c r="P23" s="47">
        <v>0</v>
      </c>
      <c r="Q23" s="47">
        <v>0</v>
      </c>
      <c r="R23" s="47">
        <v>0</v>
      </c>
      <c r="S23"/>
    </row>
    <row r="24" spans="2:19" x14ac:dyDescent="0.3">
      <c r="B24" s="48" t="s">
        <v>330</v>
      </c>
      <c r="C24" s="47">
        <v>0</v>
      </c>
      <c r="D24" s="47">
        <v>-1256</v>
      </c>
      <c r="E24" s="47">
        <v>0</v>
      </c>
      <c r="F24" s="47">
        <v>0</v>
      </c>
      <c r="G24" s="47">
        <v>-5017.8999999999996</v>
      </c>
      <c r="H24" s="47">
        <v>0</v>
      </c>
      <c r="I24" s="47">
        <v>-2872</v>
      </c>
      <c r="J24" s="47">
        <v>-2920</v>
      </c>
      <c r="K24" s="47">
        <v>-2858</v>
      </c>
      <c r="L24" s="47">
        <v>-3091.84</v>
      </c>
      <c r="M24" s="47">
        <v>-3570</v>
      </c>
      <c r="N24" s="47">
        <v>-8755.9599999999991</v>
      </c>
      <c r="O24" s="47">
        <v>-30341.7</v>
      </c>
      <c r="P24" s="47">
        <v>0</v>
      </c>
      <c r="Q24" s="47">
        <v>-4617.5200000000004</v>
      </c>
      <c r="R24" s="47">
        <v>-4617.5200000000004</v>
      </c>
      <c r="S24"/>
    </row>
    <row r="25" spans="2:19" x14ac:dyDescent="0.3">
      <c r="B25" s="48" t="s">
        <v>293</v>
      </c>
      <c r="C25" s="47">
        <v>0</v>
      </c>
      <c r="D25" s="47">
        <v>0</v>
      </c>
      <c r="E25" s="47">
        <v>0</v>
      </c>
      <c r="F25" s="47">
        <v>-1492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-1492</v>
      </c>
      <c r="P25" s="47">
        <v>0</v>
      </c>
      <c r="Q25" s="47">
        <v>0</v>
      </c>
      <c r="R25" s="47">
        <v>0</v>
      </c>
      <c r="S25"/>
    </row>
    <row r="26" spans="2:19" x14ac:dyDescent="0.3">
      <c r="B26" s="48" t="s">
        <v>185</v>
      </c>
      <c r="C26" s="47">
        <v>7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7</v>
      </c>
      <c r="P26" s="47">
        <v>0</v>
      </c>
      <c r="Q26" s="47">
        <v>0</v>
      </c>
      <c r="R26" s="47">
        <v>0</v>
      </c>
      <c r="S26"/>
    </row>
    <row r="27" spans="2:19" x14ac:dyDescent="0.3">
      <c r="B27" s="48" t="s">
        <v>115</v>
      </c>
      <c r="C27" s="47">
        <v>0</v>
      </c>
      <c r="D27" s="47">
        <v>0</v>
      </c>
      <c r="E27" s="47">
        <v>0</v>
      </c>
      <c r="F27" s="47">
        <v>0</v>
      </c>
      <c r="G27" s="47">
        <v>-70</v>
      </c>
      <c r="H27" s="47">
        <v>0</v>
      </c>
      <c r="I27" s="47">
        <v>0</v>
      </c>
      <c r="J27" s="47">
        <v>0</v>
      </c>
      <c r="K27" s="47">
        <v>0</v>
      </c>
      <c r="L27" s="47">
        <v>-20.29</v>
      </c>
      <c r="M27" s="47">
        <v>-50</v>
      </c>
      <c r="N27" s="47">
        <v>0</v>
      </c>
      <c r="O27" s="47">
        <v>-140.29</v>
      </c>
      <c r="P27" s="47">
        <v>-43.53</v>
      </c>
      <c r="Q27" s="47">
        <v>-70.7</v>
      </c>
      <c r="R27" s="47">
        <v>-114.23</v>
      </c>
      <c r="S27"/>
    </row>
    <row r="28" spans="2:19" x14ac:dyDescent="0.3">
      <c r="B28" s="48" t="s">
        <v>347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-88.99</v>
      </c>
      <c r="N28" s="47">
        <v>-53.92</v>
      </c>
      <c r="O28" s="47">
        <v>-142.91</v>
      </c>
      <c r="P28" s="47">
        <v>-53.92</v>
      </c>
      <c r="Q28" s="47">
        <v>-53.92</v>
      </c>
      <c r="R28" s="47">
        <v>-107.84</v>
      </c>
      <c r="S28"/>
    </row>
    <row r="29" spans="2:19" x14ac:dyDescent="0.3">
      <c r="B29" s="48" t="s">
        <v>516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-1259.81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-1259.81</v>
      </c>
      <c r="P29" s="47">
        <v>0</v>
      </c>
      <c r="Q29" s="47">
        <v>0</v>
      </c>
      <c r="R29" s="47">
        <v>0</v>
      </c>
      <c r="S29"/>
    </row>
    <row r="30" spans="2:19" x14ac:dyDescent="0.3">
      <c r="B30" s="48" t="s">
        <v>544</v>
      </c>
      <c r="C30" s="47">
        <v>-1483</v>
      </c>
      <c r="D30" s="47">
        <v>-904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-2387</v>
      </c>
      <c r="P30" s="47">
        <v>0</v>
      </c>
      <c r="Q30" s="47">
        <v>0</v>
      </c>
      <c r="R30" s="47">
        <v>0</v>
      </c>
      <c r="S30"/>
    </row>
    <row r="31" spans="2:19" x14ac:dyDescent="0.3">
      <c r="B31" s="48" t="s">
        <v>547</v>
      </c>
      <c r="C31" s="47">
        <v>0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2872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2872</v>
      </c>
      <c r="P31" s="47">
        <v>0</v>
      </c>
      <c r="Q31" s="47">
        <v>0</v>
      </c>
      <c r="R31" s="47">
        <v>0</v>
      </c>
      <c r="S31"/>
    </row>
    <row r="32" spans="2:19" x14ac:dyDescent="0.3">
      <c r="B32" s="48" t="s">
        <v>572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15000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15000</v>
      </c>
      <c r="P32" s="47">
        <v>0</v>
      </c>
      <c r="Q32" s="47">
        <v>0</v>
      </c>
      <c r="R32" s="47">
        <v>0</v>
      </c>
      <c r="S32"/>
    </row>
    <row r="33" spans="2:19" x14ac:dyDescent="0.3">
      <c r="B33" s="48" t="s">
        <v>780</v>
      </c>
      <c r="C33" s="47">
        <v>0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-27.67</v>
      </c>
      <c r="K33" s="47">
        <v>-28.82</v>
      </c>
      <c r="L33" s="47">
        <v>-30.06</v>
      </c>
      <c r="M33" s="47">
        <v>-30</v>
      </c>
      <c r="N33" s="47">
        <v>-30.59</v>
      </c>
      <c r="O33" s="47">
        <v>-147.13999999999999</v>
      </c>
      <c r="P33" s="47">
        <v>-30.55</v>
      </c>
      <c r="Q33" s="47">
        <v>-31.71</v>
      </c>
      <c r="R33" s="47">
        <v>-62.260000000000005</v>
      </c>
      <c r="S33"/>
    </row>
    <row r="34" spans="2:19" x14ac:dyDescent="0.3">
      <c r="B34" s="48" t="s">
        <v>781</v>
      </c>
      <c r="C34" s="47">
        <v>0</v>
      </c>
      <c r="D34" s="47">
        <v>0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-99</v>
      </c>
      <c r="N34" s="47">
        <v>-99</v>
      </c>
      <c r="O34" s="47">
        <v>-198</v>
      </c>
      <c r="P34" s="47">
        <v>-100.78</v>
      </c>
      <c r="Q34" s="47">
        <v>-100.78</v>
      </c>
      <c r="R34" s="47">
        <v>-201.56</v>
      </c>
      <c r="S34"/>
    </row>
    <row r="35" spans="2:19" x14ac:dyDescent="0.3">
      <c r="B35" s="48" t="s">
        <v>828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-10</v>
      </c>
      <c r="L35" s="47">
        <v>0</v>
      </c>
      <c r="M35" s="47">
        <v>0</v>
      </c>
      <c r="N35" s="47">
        <v>0</v>
      </c>
      <c r="O35" s="47">
        <v>-10</v>
      </c>
      <c r="P35" s="47">
        <v>0</v>
      </c>
      <c r="Q35" s="47">
        <v>0</v>
      </c>
      <c r="R35" s="47">
        <v>0</v>
      </c>
      <c r="S35"/>
    </row>
    <row r="36" spans="2:19" x14ac:dyDescent="0.3">
      <c r="B36" s="48" t="s">
        <v>310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/>
    </row>
    <row r="37" spans="2:19" x14ac:dyDescent="0.3">
      <c r="B37" s="48" t="s">
        <v>953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-37.9</v>
      </c>
      <c r="N37" s="47">
        <v>0</v>
      </c>
      <c r="O37" s="47">
        <v>-37.9</v>
      </c>
      <c r="P37" s="47">
        <v>0</v>
      </c>
      <c r="Q37" s="47">
        <v>-38.28</v>
      </c>
      <c r="R37" s="47">
        <v>-38.28</v>
      </c>
      <c r="S37"/>
    </row>
    <row r="38" spans="2:19" x14ac:dyDescent="0.3">
      <c r="B38" s="48" t="s">
        <v>955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-684</v>
      </c>
      <c r="L38" s="47">
        <v>0</v>
      </c>
      <c r="M38" s="47">
        <v>0</v>
      </c>
      <c r="N38" s="47">
        <v>0</v>
      </c>
      <c r="O38" s="47">
        <v>-684</v>
      </c>
      <c r="P38" s="47">
        <v>0</v>
      </c>
      <c r="Q38" s="47">
        <v>0</v>
      </c>
      <c r="R38" s="47">
        <v>0</v>
      </c>
      <c r="S38"/>
    </row>
    <row r="39" spans="2:19" x14ac:dyDescent="0.3">
      <c r="B39" s="48" t="s">
        <v>262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-16.62</v>
      </c>
      <c r="M39" s="47">
        <v>-12</v>
      </c>
      <c r="N39" s="47">
        <v>0</v>
      </c>
      <c r="O39" s="47">
        <v>-28.62</v>
      </c>
      <c r="P39" s="47">
        <v>0</v>
      </c>
      <c r="Q39" s="47">
        <v>0</v>
      </c>
      <c r="R39" s="47">
        <v>0</v>
      </c>
      <c r="S39"/>
    </row>
    <row r="40" spans="2:19" x14ac:dyDescent="0.3">
      <c r="B40" s="48" t="s">
        <v>952</v>
      </c>
      <c r="C40" s="47">
        <v>0</v>
      </c>
      <c r="D40" s="47">
        <v>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-16.29</v>
      </c>
      <c r="M40" s="47">
        <v>-16.600000000000001</v>
      </c>
      <c r="N40" s="47">
        <v>-16.27</v>
      </c>
      <c r="O40" s="47">
        <v>-49.16</v>
      </c>
      <c r="P40" s="47">
        <v>-16.600000000000001</v>
      </c>
      <c r="Q40" s="47">
        <v>-16.93</v>
      </c>
      <c r="R40" s="47">
        <v>-33.53</v>
      </c>
    </row>
    <row r="41" spans="2:19" x14ac:dyDescent="0.3">
      <c r="B41" s="48" t="s">
        <v>969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50828</v>
      </c>
      <c r="M41" s="47">
        <v>0</v>
      </c>
      <c r="N41" s="47">
        <v>0</v>
      </c>
      <c r="O41" s="47">
        <v>50828</v>
      </c>
      <c r="P41" s="47">
        <v>0</v>
      </c>
      <c r="Q41" s="47">
        <v>0</v>
      </c>
      <c r="R41" s="47">
        <v>0</v>
      </c>
    </row>
    <row r="42" spans="2:19" ht="43.2" x14ac:dyDescent="0.3">
      <c r="B42" s="48" t="s">
        <v>973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3227</v>
      </c>
      <c r="M42" s="47">
        <v>0</v>
      </c>
      <c r="N42" s="47">
        <v>0</v>
      </c>
      <c r="O42" s="47">
        <v>3227</v>
      </c>
      <c r="P42" s="47">
        <v>0</v>
      </c>
      <c r="Q42" s="47">
        <v>0</v>
      </c>
      <c r="R42" s="47">
        <v>0</v>
      </c>
    </row>
    <row r="43" spans="2:19" x14ac:dyDescent="0.3">
      <c r="B43" s="48" t="s">
        <v>970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343</v>
      </c>
      <c r="M43" s="47">
        <v>0</v>
      </c>
      <c r="N43" s="47">
        <v>0</v>
      </c>
      <c r="O43" s="47">
        <v>343</v>
      </c>
      <c r="P43" s="47">
        <v>0</v>
      </c>
      <c r="Q43" s="47">
        <v>0</v>
      </c>
      <c r="R43" s="47">
        <v>0</v>
      </c>
    </row>
    <row r="44" spans="2:19" x14ac:dyDescent="0.3">
      <c r="B44" s="48" t="s">
        <v>971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-743</v>
      </c>
      <c r="M44" s="47">
        <v>0</v>
      </c>
      <c r="N44" s="47">
        <v>0</v>
      </c>
      <c r="O44" s="47">
        <v>-743</v>
      </c>
      <c r="P44" s="47">
        <v>0</v>
      </c>
      <c r="Q44" s="47">
        <v>0</v>
      </c>
      <c r="R44" s="47">
        <v>0</v>
      </c>
    </row>
    <row r="45" spans="2:19" x14ac:dyDescent="0.3">
      <c r="B45" s="48" t="s">
        <v>972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84</v>
      </c>
      <c r="M45" s="47">
        <v>0</v>
      </c>
      <c r="N45" s="47">
        <v>0</v>
      </c>
      <c r="O45" s="47">
        <v>84</v>
      </c>
      <c r="P45" s="47">
        <v>0</v>
      </c>
      <c r="Q45" s="47">
        <v>0</v>
      </c>
      <c r="R45" s="47">
        <v>0</v>
      </c>
    </row>
    <row r="46" spans="2:19" ht="28.8" x14ac:dyDescent="0.3">
      <c r="B46" s="48" t="s">
        <v>974</v>
      </c>
      <c r="C46" s="47">
        <v>0</v>
      </c>
      <c r="D46" s="47">
        <v>0</v>
      </c>
      <c r="E46" s="47">
        <v>0</v>
      </c>
      <c r="F46" s="47">
        <v>0</v>
      </c>
      <c r="G46" s="47">
        <v>2129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2129</v>
      </c>
      <c r="P46" s="47">
        <v>0</v>
      </c>
      <c r="Q46" s="47">
        <v>0</v>
      </c>
      <c r="R46" s="47">
        <v>0</v>
      </c>
    </row>
    <row r="47" spans="2:19" ht="28.8" x14ac:dyDescent="0.3">
      <c r="B47" s="48" t="s">
        <v>975</v>
      </c>
      <c r="C47" s="47">
        <v>0</v>
      </c>
      <c r="D47" s="47">
        <v>0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11047</v>
      </c>
      <c r="M47" s="47">
        <v>0</v>
      </c>
      <c r="N47" s="47">
        <v>0</v>
      </c>
      <c r="O47" s="47">
        <v>11047</v>
      </c>
      <c r="P47" s="47">
        <v>0</v>
      </c>
      <c r="Q47" s="47">
        <v>0</v>
      </c>
      <c r="R47" s="47">
        <v>0</v>
      </c>
    </row>
    <row r="48" spans="2:19" ht="28.8" x14ac:dyDescent="0.3">
      <c r="B48" s="48" t="s">
        <v>976</v>
      </c>
      <c r="C48" s="47">
        <v>0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-50518</v>
      </c>
      <c r="M48" s="47">
        <v>0</v>
      </c>
      <c r="N48" s="47">
        <v>0</v>
      </c>
      <c r="O48" s="47">
        <v>-50518</v>
      </c>
      <c r="P48" s="47">
        <v>0</v>
      </c>
      <c r="Q48" s="47">
        <v>0</v>
      </c>
      <c r="R48" s="47">
        <v>0</v>
      </c>
    </row>
    <row r="49" spans="2:18" x14ac:dyDescent="0.3">
      <c r="B49" s="48" t="s">
        <v>1115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-3997</v>
      </c>
      <c r="N49" s="47">
        <v>0</v>
      </c>
      <c r="O49" s="47">
        <v>-3997</v>
      </c>
      <c r="P49" s="47">
        <v>0</v>
      </c>
      <c r="Q49" s="47">
        <v>0</v>
      </c>
      <c r="R49" s="47">
        <v>0</v>
      </c>
    </row>
    <row r="50" spans="2:18" x14ac:dyDescent="0.3">
      <c r="B50" s="48" t="s">
        <v>1116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-590</v>
      </c>
      <c r="N50" s="47">
        <v>0</v>
      </c>
      <c r="O50" s="47">
        <v>-590</v>
      </c>
      <c r="P50" s="47">
        <v>0</v>
      </c>
      <c r="Q50" s="47">
        <v>0</v>
      </c>
      <c r="R50" s="47">
        <v>0</v>
      </c>
    </row>
    <row r="51" spans="2:18" x14ac:dyDescent="0.3">
      <c r="B51" s="48" t="s">
        <v>1117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-39.99</v>
      </c>
      <c r="N51" s="47">
        <v>0</v>
      </c>
      <c r="O51" s="47">
        <v>-39.99</v>
      </c>
      <c r="P51" s="47">
        <v>0</v>
      </c>
      <c r="Q51" s="47">
        <v>0</v>
      </c>
      <c r="R51" s="47">
        <v>0</v>
      </c>
    </row>
    <row r="52" spans="2:18" x14ac:dyDescent="0.3">
      <c r="B52" s="48" t="s">
        <v>1119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-30.13</v>
      </c>
      <c r="N52" s="47">
        <v>0</v>
      </c>
      <c r="O52" s="47">
        <v>-30.13</v>
      </c>
      <c r="P52" s="47">
        <v>0</v>
      </c>
      <c r="Q52" s="47">
        <v>0</v>
      </c>
      <c r="R52" s="47">
        <v>0</v>
      </c>
    </row>
    <row r="53" spans="2:18" x14ac:dyDescent="0.3">
      <c r="B53" s="48" t="s">
        <v>959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45581</v>
      </c>
      <c r="N53" s="47">
        <v>-33552</v>
      </c>
      <c r="O53" s="47">
        <v>12029</v>
      </c>
      <c r="P53" s="47">
        <v>0</v>
      </c>
      <c r="Q53" s="47">
        <v>0</v>
      </c>
      <c r="R53" s="47">
        <v>0</v>
      </c>
    </row>
    <row r="54" spans="2:18" x14ac:dyDescent="0.3">
      <c r="B54" s="48" t="s">
        <v>1275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-40</v>
      </c>
      <c r="O54" s="47">
        <v>-40</v>
      </c>
      <c r="P54" s="47">
        <v>0</v>
      </c>
      <c r="Q54" s="47">
        <v>0</v>
      </c>
      <c r="R54" s="47">
        <v>0</v>
      </c>
    </row>
    <row r="55" spans="2:18" x14ac:dyDescent="0.3">
      <c r="B55" s="48" t="s">
        <v>1276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v>-567.08000000000004</v>
      </c>
      <c r="O55" s="47">
        <v>-567.08000000000004</v>
      </c>
      <c r="P55" s="47">
        <v>0</v>
      </c>
      <c r="Q55" s="47">
        <v>0</v>
      </c>
      <c r="R55" s="47">
        <v>0</v>
      </c>
    </row>
    <row r="56" spans="2:18" x14ac:dyDescent="0.3">
      <c r="B56" s="48" t="s">
        <v>1277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-182.82</v>
      </c>
      <c r="O56" s="47">
        <v>-182.82</v>
      </c>
      <c r="P56" s="47">
        <v>0</v>
      </c>
      <c r="Q56" s="47">
        <v>0</v>
      </c>
      <c r="R56" s="47">
        <v>0</v>
      </c>
    </row>
    <row r="57" spans="2:18" x14ac:dyDescent="0.3">
      <c r="B57" s="48" t="s">
        <v>1278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-55.28</v>
      </c>
      <c r="O57" s="47">
        <v>-55.28</v>
      </c>
      <c r="P57" s="47">
        <v>0</v>
      </c>
      <c r="Q57" s="47">
        <v>-739.32999999999993</v>
      </c>
      <c r="R57" s="47">
        <v>-739.32999999999993</v>
      </c>
    </row>
    <row r="58" spans="2:18" x14ac:dyDescent="0.3">
      <c r="B58" s="48" t="s">
        <v>1280</v>
      </c>
      <c r="C58" s="47">
        <v>0</v>
      </c>
      <c r="D58" s="47">
        <v>0</v>
      </c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v>-1.95</v>
      </c>
      <c r="O58" s="47">
        <v>-1.95</v>
      </c>
      <c r="P58" s="47">
        <v>0</v>
      </c>
      <c r="Q58" s="47">
        <v>0</v>
      </c>
      <c r="R58" s="47">
        <v>0</v>
      </c>
    </row>
    <row r="59" spans="2:18" x14ac:dyDescent="0.3">
      <c r="B59" s="48" t="s">
        <v>1287</v>
      </c>
      <c r="C59" s="47">
        <v>0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v>-263.63</v>
      </c>
      <c r="O59" s="47">
        <v>-263.63</v>
      </c>
      <c r="P59" s="47">
        <v>0</v>
      </c>
      <c r="Q59" s="47">
        <v>0</v>
      </c>
      <c r="R59" s="47">
        <v>0</v>
      </c>
    </row>
    <row r="60" spans="2:18" x14ac:dyDescent="0.3">
      <c r="B60" s="48" t="s">
        <v>1288</v>
      </c>
      <c r="C60" s="47">
        <v>0</v>
      </c>
      <c r="D60" s="47">
        <v>0</v>
      </c>
      <c r="E60" s="47">
        <v>0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v>-510.2</v>
      </c>
      <c r="O60" s="47">
        <v>-510.2</v>
      </c>
      <c r="P60" s="47">
        <v>0</v>
      </c>
      <c r="Q60" s="47">
        <v>0</v>
      </c>
      <c r="R60" s="47">
        <v>0</v>
      </c>
    </row>
    <row r="61" spans="2:18" x14ac:dyDescent="0.3">
      <c r="B61" s="48" t="s">
        <v>1282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-29.95</v>
      </c>
      <c r="Q61" s="47">
        <v>0</v>
      </c>
      <c r="R61" s="47">
        <v>-29.95</v>
      </c>
    </row>
    <row r="62" spans="2:18" x14ac:dyDescent="0.3">
      <c r="B62" s="48" t="s">
        <v>1327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-277.36999999999995</v>
      </c>
      <c r="R62" s="47">
        <v>-277.36999999999995</v>
      </c>
    </row>
    <row r="63" spans="2:18" x14ac:dyDescent="0.3">
      <c r="B63" s="48" t="s">
        <v>1326</v>
      </c>
      <c r="C63" s="47">
        <v>0</v>
      </c>
      <c r="D63" s="47">
        <v>0</v>
      </c>
      <c r="E63" s="47">
        <v>0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-39.380000000000003</v>
      </c>
      <c r="R63" s="47">
        <v>-39.380000000000003</v>
      </c>
    </row>
    <row r="64" spans="2:18" x14ac:dyDescent="0.3">
      <c r="B64" s="34" t="s">
        <v>192</v>
      </c>
      <c r="C64" s="47">
        <v>0</v>
      </c>
      <c r="D64" s="47">
        <v>-18</v>
      </c>
      <c r="E64" s="47">
        <v>-30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v>0</v>
      </c>
      <c r="O64" s="47">
        <v>-48</v>
      </c>
      <c r="P64" s="47">
        <v>0</v>
      </c>
      <c r="Q64" s="47">
        <v>0</v>
      </c>
      <c r="R64" s="47">
        <v>0</v>
      </c>
    </row>
    <row r="65" spans="2:18" x14ac:dyDescent="0.3">
      <c r="B65" s="34" t="s">
        <v>216</v>
      </c>
      <c r="C65" s="47">
        <v>0</v>
      </c>
      <c r="D65" s="47">
        <v>0</v>
      </c>
      <c r="E65" s="47">
        <v>-38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v>0</v>
      </c>
      <c r="O65" s="47">
        <v>-38</v>
      </c>
      <c r="P65" s="47">
        <v>0</v>
      </c>
      <c r="Q65" s="47">
        <v>0</v>
      </c>
      <c r="R65" s="47">
        <v>0</v>
      </c>
    </row>
    <row r="66" spans="2:18" x14ac:dyDescent="0.3">
      <c r="B66" s="34" t="s">
        <v>356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-38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-38</v>
      </c>
      <c r="P66" s="47">
        <v>0</v>
      </c>
      <c r="Q66" s="47">
        <v>0</v>
      </c>
      <c r="R66" s="47">
        <v>0</v>
      </c>
    </row>
    <row r="67" spans="2:18" x14ac:dyDescent="0.3">
      <c r="B67" s="34" t="s">
        <v>227</v>
      </c>
      <c r="C67" s="47">
        <v>0</v>
      </c>
      <c r="D67" s="47">
        <v>0</v>
      </c>
      <c r="E67" s="47">
        <v>-11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v>0</v>
      </c>
      <c r="O67" s="47">
        <v>-11</v>
      </c>
      <c r="P67" s="47">
        <v>0</v>
      </c>
      <c r="Q67" s="47">
        <v>0</v>
      </c>
      <c r="R67" s="47">
        <v>0</v>
      </c>
    </row>
    <row r="68" spans="2:18" x14ac:dyDescent="0.3">
      <c r="B68" s="34" t="s">
        <v>196</v>
      </c>
      <c r="C68" s="47">
        <v>0</v>
      </c>
      <c r="D68" s="47">
        <v>-60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v>0</v>
      </c>
      <c r="O68" s="47">
        <v>-60</v>
      </c>
      <c r="P68" s="47">
        <v>0</v>
      </c>
      <c r="Q68" s="47">
        <v>0</v>
      </c>
      <c r="R68" s="47">
        <v>0</v>
      </c>
    </row>
    <row r="69" spans="2:18" x14ac:dyDescent="0.3">
      <c r="B69" s="34" t="s">
        <v>323</v>
      </c>
      <c r="C69" s="47">
        <v>0</v>
      </c>
      <c r="D69" s="47">
        <v>0</v>
      </c>
      <c r="E69" s="47">
        <v>0</v>
      </c>
      <c r="F69" s="47">
        <v>0</v>
      </c>
      <c r="G69" s="47">
        <v>-38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-38</v>
      </c>
      <c r="P69" s="47">
        <v>0</v>
      </c>
      <c r="Q69" s="47">
        <v>0</v>
      </c>
      <c r="R69" s="47">
        <v>0</v>
      </c>
    </row>
    <row r="70" spans="2:18" x14ac:dyDescent="0.3">
      <c r="B70" s="34" t="s">
        <v>173</v>
      </c>
      <c r="C70" s="47">
        <v>-114</v>
      </c>
      <c r="D70" s="47">
        <v>50953</v>
      </c>
      <c r="E70" s="47">
        <v>-3679.4878048780483</v>
      </c>
      <c r="F70" s="47">
        <v>-50317</v>
      </c>
      <c r="G70" s="47">
        <v>3157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</v>
      </c>
      <c r="O70" s="47">
        <v>-0.48780487805197481</v>
      </c>
      <c r="P70" s="47">
        <v>0</v>
      </c>
      <c r="Q70" s="47">
        <v>0</v>
      </c>
      <c r="R70" s="47">
        <v>0</v>
      </c>
    </row>
    <row r="71" spans="2:18" x14ac:dyDescent="0.3">
      <c r="B71" s="34" t="s">
        <v>219</v>
      </c>
      <c r="C71" s="47">
        <v>0</v>
      </c>
      <c r="D71" s="47">
        <v>0</v>
      </c>
      <c r="E71" s="47">
        <v>-1855.47</v>
      </c>
      <c r="F71" s="47">
        <v>-8930.17</v>
      </c>
      <c r="G71" s="47">
        <v>27690.149999999998</v>
      </c>
      <c r="H71" s="47">
        <v>24360.94</v>
      </c>
      <c r="I71" s="47">
        <v>-41265.599999999999</v>
      </c>
      <c r="J71" s="47">
        <v>0</v>
      </c>
      <c r="K71" s="47">
        <v>0</v>
      </c>
      <c r="L71" s="47">
        <v>0</v>
      </c>
      <c r="M71" s="47">
        <v>0</v>
      </c>
      <c r="N71" s="47">
        <v>0</v>
      </c>
      <c r="O71" s="47">
        <v>-0.14999999999417923</v>
      </c>
      <c r="P71" s="47">
        <v>0</v>
      </c>
      <c r="Q71" s="47">
        <v>0</v>
      </c>
      <c r="R71" s="47">
        <v>0</v>
      </c>
    </row>
    <row r="72" spans="2:18" x14ac:dyDescent="0.3">
      <c r="B72" s="34" t="s">
        <v>519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-25.18</v>
      </c>
      <c r="I72" s="47">
        <v>-1280.93</v>
      </c>
      <c r="J72" s="47">
        <v>-21578.26</v>
      </c>
      <c r="K72" s="47">
        <v>70058.75</v>
      </c>
      <c r="L72" s="47">
        <v>-45237</v>
      </c>
      <c r="M72" s="47">
        <v>-1950</v>
      </c>
      <c r="N72" s="47">
        <v>0</v>
      </c>
      <c r="O72" s="47">
        <v>-12.620000000009895</v>
      </c>
      <c r="P72" s="47">
        <v>0</v>
      </c>
      <c r="Q72" s="47">
        <v>0</v>
      </c>
      <c r="R72" s="47">
        <v>0</v>
      </c>
    </row>
    <row r="73" spans="2:18" x14ac:dyDescent="0.3">
      <c r="B73" s="34" t="s">
        <v>177</v>
      </c>
      <c r="C73" s="47">
        <v>3336</v>
      </c>
      <c r="D73" s="47">
        <v>-819</v>
      </c>
      <c r="E73" s="47">
        <v>0</v>
      </c>
      <c r="F73" s="47">
        <v>-23.169999999999845</v>
      </c>
      <c r="G73" s="47">
        <v>-249.22</v>
      </c>
      <c r="H73" s="47">
        <v>0</v>
      </c>
      <c r="I73" s="47">
        <v>-2245</v>
      </c>
      <c r="J73" s="47">
        <v>0</v>
      </c>
      <c r="K73" s="47">
        <v>0</v>
      </c>
      <c r="L73" s="47">
        <v>-57.66</v>
      </c>
      <c r="M73" s="47">
        <v>-755.28</v>
      </c>
      <c r="N73" s="47">
        <v>0</v>
      </c>
      <c r="O73" s="47">
        <v>-813.32999999999993</v>
      </c>
      <c r="P73" s="47">
        <v>0</v>
      </c>
      <c r="Q73" s="47">
        <v>0</v>
      </c>
      <c r="R73" s="47">
        <v>0</v>
      </c>
    </row>
    <row r="74" spans="2:18" x14ac:dyDescent="0.3">
      <c r="B74" s="34" t="s">
        <v>258</v>
      </c>
      <c r="C74" s="47">
        <v>0</v>
      </c>
      <c r="D74" s="47">
        <v>0</v>
      </c>
      <c r="E74" s="47">
        <v>0</v>
      </c>
      <c r="F74" s="47">
        <v>-9.4600000000000009</v>
      </c>
      <c r="G74" s="47">
        <v>390</v>
      </c>
      <c r="H74" s="47">
        <v>-38</v>
      </c>
      <c r="I74" s="47">
        <v>0</v>
      </c>
      <c r="J74" s="47">
        <v>0</v>
      </c>
      <c r="K74" s="47">
        <v>0</v>
      </c>
      <c r="L74" s="47">
        <v>-343</v>
      </c>
      <c r="M74" s="47">
        <v>0</v>
      </c>
      <c r="N74" s="47">
        <v>0</v>
      </c>
      <c r="O74" s="47">
        <v>-0.46000000000003638</v>
      </c>
      <c r="P74" s="47">
        <v>0</v>
      </c>
      <c r="Q74" s="47">
        <v>0</v>
      </c>
      <c r="R74" s="47">
        <v>0</v>
      </c>
    </row>
    <row r="75" spans="2:18" x14ac:dyDescent="0.3">
      <c r="B75" s="34" t="s">
        <v>110</v>
      </c>
      <c r="C75" s="47">
        <v>0</v>
      </c>
      <c r="D75" s="47">
        <v>0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0.86000000000058208</v>
      </c>
      <c r="L75" s="47">
        <v>0</v>
      </c>
      <c r="M75" s="47">
        <v>0</v>
      </c>
      <c r="N75" s="47">
        <v>0</v>
      </c>
      <c r="O75" s="47">
        <v>0.85999999998603016</v>
      </c>
      <c r="P75" s="47">
        <v>0</v>
      </c>
      <c r="Q75" s="47">
        <v>0</v>
      </c>
      <c r="R75" s="47">
        <v>0</v>
      </c>
    </row>
    <row r="76" spans="2:18" x14ac:dyDescent="0.3">
      <c r="B76" s="34" t="s">
        <v>355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2212.3600000000006</v>
      </c>
      <c r="I76" s="47">
        <v>-1080.6300000000001</v>
      </c>
      <c r="J76" s="47">
        <v>821.47000000000025</v>
      </c>
      <c r="K76" s="47">
        <v>1462.9499999999998</v>
      </c>
      <c r="L76" s="47">
        <v>-2945.47</v>
      </c>
      <c r="M76" s="47">
        <v>-781.76000000000022</v>
      </c>
      <c r="N76" s="47">
        <v>450.76000000000022</v>
      </c>
      <c r="O76" s="47">
        <v>139.67999999998938</v>
      </c>
      <c r="P76" s="47">
        <v>1290.1800000000003</v>
      </c>
      <c r="Q76" s="47">
        <v>524.55999999999995</v>
      </c>
      <c r="R76" s="47">
        <v>1814.7399999999998</v>
      </c>
    </row>
    <row r="77" spans="2:18" x14ac:dyDescent="0.3">
      <c r="B77" s="34" t="s">
        <v>272</v>
      </c>
      <c r="C77" s="47">
        <v>0</v>
      </c>
      <c r="D77" s="47">
        <v>0</v>
      </c>
      <c r="E77" s="47">
        <v>0</v>
      </c>
      <c r="F77" s="47">
        <v>-499.41</v>
      </c>
      <c r="G77" s="47">
        <v>-247.95999999999998</v>
      </c>
      <c r="H77" s="47">
        <v>0</v>
      </c>
      <c r="I77" s="47">
        <v>0</v>
      </c>
      <c r="J77" s="47">
        <v>0</v>
      </c>
      <c r="K77" s="47">
        <v>0</v>
      </c>
      <c r="L77" s="47">
        <v>743</v>
      </c>
      <c r="M77" s="47">
        <v>0</v>
      </c>
      <c r="N77" s="47">
        <v>0</v>
      </c>
      <c r="O77" s="47">
        <v>-4.3700000000001182</v>
      </c>
      <c r="P77" s="47">
        <v>0</v>
      </c>
      <c r="Q77" s="47">
        <v>0</v>
      </c>
      <c r="R77" s="47">
        <v>0</v>
      </c>
    </row>
    <row r="78" spans="2:18" x14ac:dyDescent="0.3">
      <c r="B78" s="34" t="s">
        <v>310</v>
      </c>
      <c r="C78" s="47">
        <v>0</v>
      </c>
      <c r="D78" s="47">
        <v>0</v>
      </c>
      <c r="E78" s="47">
        <v>0</v>
      </c>
      <c r="F78" s="47">
        <v>0.63999999999987267</v>
      </c>
      <c r="G78" s="47">
        <v>1.0000000000218279E-2</v>
      </c>
      <c r="H78" s="47">
        <v>0</v>
      </c>
      <c r="I78" s="47">
        <v>0</v>
      </c>
      <c r="J78" s="47">
        <v>0.56999999999970896</v>
      </c>
      <c r="K78" s="47">
        <v>0</v>
      </c>
      <c r="L78" s="47">
        <v>0</v>
      </c>
      <c r="M78" s="47">
        <v>0</v>
      </c>
      <c r="N78" s="47">
        <v>0</v>
      </c>
      <c r="O78" s="47">
        <v>1.2200000000011642</v>
      </c>
      <c r="P78" s="47">
        <v>0</v>
      </c>
      <c r="Q78" s="47">
        <v>0</v>
      </c>
      <c r="R78" s="47">
        <v>0</v>
      </c>
    </row>
    <row r="79" spans="2:18" x14ac:dyDescent="0.3">
      <c r="B79" s="34" t="s">
        <v>279</v>
      </c>
      <c r="C79" s="47">
        <v>0</v>
      </c>
      <c r="D79" s="47">
        <v>0</v>
      </c>
      <c r="E79" s="47">
        <v>0</v>
      </c>
      <c r="F79" s="47">
        <v>-2289.2699999999995</v>
      </c>
      <c r="G79" s="47">
        <v>0</v>
      </c>
      <c r="H79" s="47">
        <v>0</v>
      </c>
      <c r="I79" s="47">
        <v>2289.3000000000002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3.0000000000654836E-2</v>
      </c>
      <c r="P79" s="47">
        <v>-56.25</v>
      </c>
      <c r="Q79" s="47">
        <v>0</v>
      </c>
      <c r="R79" s="47">
        <v>-56.25</v>
      </c>
    </row>
    <row r="80" spans="2:18" x14ac:dyDescent="0.3">
      <c r="B80" s="34" t="s">
        <v>520</v>
      </c>
      <c r="C80" s="47">
        <v>0</v>
      </c>
      <c r="D80" s="47">
        <v>0</v>
      </c>
      <c r="E80" s="47">
        <v>0</v>
      </c>
      <c r="F80" s="47">
        <v>0</v>
      </c>
      <c r="G80" s="47">
        <v>0</v>
      </c>
      <c r="H80" s="47">
        <v>-9.58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v>0</v>
      </c>
      <c r="O80" s="47">
        <v>-9.58</v>
      </c>
      <c r="P80" s="47">
        <v>0</v>
      </c>
      <c r="Q80" s="47">
        <v>0</v>
      </c>
      <c r="R80" s="47">
        <v>0</v>
      </c>
    </row>
    <row r="81" spans="2:18" x14ac:dyDescent="0.3">
      <c r="B81" s="34" t="s">
        <v>260</v>
      </c>
      <c r="C81" s="47">
        <v>0</v>
      </c>
      <c r="D81" s="47">
        <v>0</v>
      </c>
      <c r="E81" s="47">
        <v>0</v>
      </c>
      <c r="F81" s="47">
        <v>-47.46</v>
      </c>
      <c r="G81" s="47">
        <v>-47.22</v>
      </c>
      <c r="H81" s="47">
        <v>0</v>
      </c>
      <c r="I81" s="47">
        <v>447</v>
      </c>
      <c r="J81" s="47">
        <v>0</v>
      </c>
      <c r="K81" s="47">
        <v>-268</v>
      </c>
      <c r="L81" s="47">
        <v>-84</v>
      </c>
      <c r="M81" s="47">
        <v>0</v>
      </c>
      <c r="N81" s="47">
        <v>0</v>
      </c>
      <c r="O81" s="47">
        <v>0.31999999999999318</v>
      </c>
      <c r="P81" s="47">
        <v>0</v>
      </c>
      <c r="Q81" s="47">
        <v>0</v>
      </c>
      <c r="R81" s="47">
        <v>0</v>
      </c>
    </row>
    <row r="82" spans="2:18" x14ac:dyDescent="0.3">
      <c r="B82" s="34" t="s">
        <v>1270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</row>
    <row r="83" spans="2:18" x14ac:dyDescent="0.3">
      <c r="B83" s="34" t="s">
        <v>564</v>
      </c>
      <c r="C83" s="47">
        <v>0</v>
      </c>
      <c r="D83" s="47">
        <v>0</v>
      </c>
      <c r="E83" s="47">
        <v>0</v>
      </c>
      <c r="F83" s="47">
        <v>5059</v>
      </c>
      <c r="G83" s="47">
        <v>0</v>
      </c>
      <c r="H83" s="47">
        <v>4659</v>
      </c>
      <c r="I83" s="47">
        <v>-8418</v>
      </c>
      <c r="J83" s="47">
        <v>0</v>
      </c>
      <c r="K83" s="47">
        <v>0</v>
      </c>
      <c r="L83" s="47">
        <v>43224</v>
      </c>
      <c r="M83" s="47">
        <v>-44553</v>
      </c>
      <c r="N83" s="47">
        <v>1</v>
      </c>
      <c r="O83" s="47">
        <v>-28</v>
      </c>
      <c r="P83" s="47">
        <v>0</v>
      </c>
      <c r="Q83" s="47">
        <v>0</v>
      </c>
      <c r="R83" s="47">
        <v>0</v>
      </c>
    </row>
    <row r="84" spans="2:18" x14ac:dyDescent="0.3">
      <c r="B84" s="34" t="s">
        <v>783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-1004</v>
      </c>
      <c r="K84" s="47">
        <v>0</v>
      </c>
      <c r="L84" s="47">
        <v>0</v>
      </c>
      <c r="M84" s="47">
        <v>1004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</row>
    <row r="85" spans="2:18" x14ac:dyDescent="0.3">
      <c r="B85" s="34" t="s">
        <v>785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-38</v>
      </c>
      <c r="K85" s="47">
        <v>-38</v>
      </c>
      <c r="L85" s="47">
        <v>0</v>
      </c>
      <c r="M85" s="47">
        <v>0</v>
      </c>
      <c r="N85" s="47">
        <v>0</v>
      </c>
      <c r="O85" s="47">
        <v>-76</v>
      </c>
      <c r="P85" s="47">
        <v>0</v>
      </c>
      <c r="Q85" s="47">
        <v>0</v>
      </c>
      <c r="R85" s="47">
        <v>0</v>
      </c>
    </row>
    <row r="86" spans="2:18" x14ac:dyDescent="0.3">
      <c r="B86" s="34" t="s">
        <v>940</v>
      </c>
      <c r="C86" s="47">
        <v>0</v>
      </c>
      <c r="D86" s="47">
        <v>0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-21.21</v>
      </c>
      <c r="L86" s="47">
        <v>-21574.29</v>
      </c>
      <c r="M86" s="47">
        <v>21595.17</v>
      </c>
      <c r="N86" s="47">
        <v>-788</v>
      </c>
      <c r="O86" s="47">
        <v>-788.33000000000175</v>
      </c>
      <c r="P86" s="47">
        <v>0</v>
      </c>
      <c r="Q86" s="47">
        <v>0</v>
      </c>
      <c r="R86" s="47">
        <v>0</v>
      </c>
    </row>
    <row r="87" spans="2:18" x14ac:dyDescent="0.3">
      <c r="B87" s="34" t="s">
        <v>950</v>
      </c>
      <c r="C87" s="47">
        <v>0</v>
      </c>
      <c r="D87" s="47">
        <v>0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-21.54</v>
      </c>
      <c r="L87" s="47">
        <v>-5.8</v>
      </c>
      <c r="M87" s="47">
        <v>0</v>
      </c>
      <c r="N87" s="47">
        <v>0</v>
      </c>
      <c r="O87" s="47">
        <v>-27.34</v>
      </c>
      <c r="P87" s="47">
        <v>0</v>
      </c>
      <c r="Q87" s="47">
        <v>0</v>
      </c>
      <c r="R87" s="47">
        <v>0</v>
      </c>
    </row>
    <row r="88" spans="2:18" x14ac:dyDescent="0.3">
      <c r="B88" s="34" t="s">
        <v>1118</v>
      </c>
      <c r="C88" s="47">
        <v>0</v>
      </c>
      <c r="D88" s="47">
        <v>0</v>
      </c>
      <c r="E88" s="47">
        <v>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-0.38999999999941792</v>
      </c>
      <c r="N88" s="47">
        <v>0</v>
      </c>
      <c r="O88" s="47">
        <v>-0.38999999999941792</v>
      </c>
      <c r="P88" s="47">
        <v>0</v>
      </c>
      <c r="Q88" s="47">
        <v>0</v>
      </c>
      <c r="R88" s="47">
        <v>0</v>
      </c>
    </row>
    <row r="89" spans="2:18" x14ac:dyDescent="0.3">
      <c r="B89" s="34" t="s">
        <v>1262</v>
      </c>
      <c r="C89" s="47">
        <v>0</v>
      </c>
      <c r="D89" s="47">
        <v>0</v>
      </c>
      <c r="E89" s="47">
        <v>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v>2824.34</v>
      </c>
      <c r="O89" s="47">
        <v>2824.34</v>
      </c>
      <c r="P89" s="47">
        <v>0</v>
      </c>
      <c r="Q89" s="47">
        <v>0</v>
      </c>
      <c r="R89" s="47">
        <v>0</v>
      </c>
    </row>
    <row r="90" spans="2:18" x14ac:dyDescent="0.3">
      <c r="B90" s="34" t="s">
        <v>1263</v>
      </c>
      <c r="C90" s="47">
        <v>0</v>
      </c>
      <c r="D90" s="47">
        <v>0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v>407.45000000000005</v>
      </c>
      <c r="O90" s="47">
        <v>407.45000000000005</v>
      </c>
      <c r="P90" s="47">
        <v>158.69</v>
      </c>
      <c r="Q90" s="47">
        <v>0</v>
      </c>
      <c r="R90" s="47">
        <v>158.69</v>
      </c>
    </row>
    <row r="91" spans="2:18" x14ac:dyDescent="0.3">
      <c r="B91" s="34" t="s">
        <v>1261</v>
      </c>
      <c r="C91" s="47">
        <v>0</v>
      </c>
      <c r="D91" s="47">
        <v>0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v>-2111.71</v>
      </c>
      <c r="O91" s="47">
        <v>-2111.71</v>
      </c>
      <c r="P91" s="47">
        <v>11600.600000000002</v>
      </c>
      <c r="Q91" s="47">
        <v>9825.2199999999993</v>
      </c>
      <c r="R91" s="47">
        <v>21425.820000000003</v>
      </c>
    </row>
    <row r="92" spans="2:18" x14ac:dyDescent="0.3">
      <c r="B92" s="34" t="s">
        <v>1264</v>
      </c>
      <c r="C92" s="47">
        <v>0</v>
      </c>
      <c r="D92" s="47">
        <v>0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v>0</v>
      </c>
      <c r="O92" s="47">
        <v>0</v>
      </c>
      <c r="P92" s="47">
        <v>6477.65</v>
      </c>
      <c r="Q92" s="47">
        <v>9390.61</v>
      </c>
      <c r="R92" s="47">
        <v>15868.26</v>
      </c>
    </row>
    <row r="93" spans="2:18" x14ac:dyDescent="0.3">
      <c r="B93" s="34" t="s">
        <v>1265</v>
      </c>
      <c r="C93" s="47">
        <v>0</v>
      </c>
      <c r="D93" s="47">
        <v>0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v>0</v>
      </c>
      <c r="O93" s="47">
        <v>0</v>
      </c>
      <c r="P93" s="47">
        <v>-561.9</v>
      </c>
      <c r="Q93" s="47">
        <v>11189.97</v>
      </c>
      <c r="R93" s="47">
        <v>10628.07</v>
      </c>
    </row>
    <row r="94" spans="2:18" x14ac:dyDescent="0.3">
      <c r="B94" s="34" t="s">
        <v>1281</v>
      </c>
      <c r="C94" s="47">
        <v>0</v>
      </c>
      <c r="D94" s="47">
        <v>0</v>
      </c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v>-30.789999999999964</v>
      </c>
      <c r="O94" s="47">
        <v>-30.789999999999964</v>
      </c>
      <c r="P94" s="47">
        <v>0</v>
      </c>
      <c r="Q94" s="47">
        <v>0</v>
      </c>
      <c r="R94" s="47">
        <v>0</v>
      </c>
    </row>
    <row r="95" spans="2:18" x14ac:dyDescent="0.3">
      <c r="B95" s="34" t="s">
        <v>542</v>
      </c>
      <c r="C95" s="47">
        <v>5871</v>
      </c>
      <c r="D95" s="47">
        <v>44358.58</v>
      </c>
      <c r="E95" s="47">
        <v>-6869.5878048780505</v>
      </c>
      <c r="F95" s="47">
        <v>-63508.289999999994</v>
      </c>
      <c r="G95" s="47">
        <v>27090.03</v>
      </c>
      <c r="H95" s="47">
        <v>28220.97</v>
      </c>
      <c r="I95" s="47">
        <v>-37539.4</v>
      </c>
      <c r="J95" s="47">
        <v>-24768.269999999997</v>
      </c>
      <c r="K95" s="47">
        <v>76153.239999999991</v>
      </c>
      <c r="L95" s="47">
        <v>-24665.4</v>
      </c>
      <c r="M95" s="47">
        <v>11918.150000000009</v>
      </c>
      <c r="N95" s="47">
        <v>-43638.219999999994</v>
      </c>
      <c r="O95" s="47">
        <v>-7377.197804878042</v>
      </c>
      <c r="P95" s="47">
        <v>24752.9</v>
      </c>
      <c r="Q95" s="47">
        <v>24521.989999999991</v>
      </c>
      <c r="R95" s="47">
        <v>49274.89</v>
      </c>
    </row>
    <row r="96" spans="2:18" x14ac:dyDescent="0.3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2:18" x14ac:dyDescent="0.3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2:18" x14ac:dyDescent="0.3">
      <c r="C98" s="34"/>
      <c r="D98" s="34"/>
      <c r="E98" s="34"/>
      <c r="F98" s="34"/>
      <c r="G98" s="34"/>
      <c r="H98" s="34"/>
      <c r="I98" s="34"/>
      <c r="J98" s="34"/>
    </row>
    <row r="99" spans="2:18" x14ac:dyDescent="0.3">
      <c r="C99" s="34"/>
      <c r="D99" s="34"/>
      <c r="E99" s="34"/>
      <c r="F99" s="34"/>
      <c r="G99" s="34"/>
      <c r="H99" s="34"/>
      <c r="I99" s="34"/>
      <c r="J99" s="34"/>
    </row>
    <row r="100" spans="2:18" x14ac:dyDescent="0.3">
      <c r="C100" s="34"/>
      <c r="D100" s="34"/>
      <c r="E100" s="34"/>
      <c r="F100" s="34"/>
      <c r="G100" s="34"/>
      <c r="H100" s="34"/>
      <c r="I100" s="34"/>
      <c r="J100" s="34"/>
    </row>
    <row r="101" spans="2:18" x14ac:dyDescent="0.3">
      <c r="C101" s="34"/>
      <c r="D101" s="34"/>
      <c r="E101" s="34"/>
      <c r="F101" s="34"/>
      <c r="G101" s="34"/>
      <c r="H101" s="34"/>
      <c r="I101" s="34"/>
      <c r="J101" s="34"/>
    </row>
    <row r="102" spans="2:18" x14ac:dyDescent="0.3">
      <c r="C102" s="34"/>
      <c r="D102" s="34"/>
      <c r="E102" s="34"/>
      <c r="F102" s="34"/>
      <c r="G102" s="34"/>
      <c r="H102" s="34"/>
      <c r="I102" s="34"/>
      <c r="J102" s="34"/>
    </row>
    <row r="103" spans="2:18" x14ac:dyDescent="0.3">
      <c r="C103" s="34"/>
      <c r="D103" s="34"/>
      <c r="E103" s="34"/>
      <c r="F103" s="34"/>
      <c r="G103" s="34"/>
      <c r="H103" s="34"/>
      <c r="I103" s="34"/>
      <c r="J103" s="34"/>
    </row>
    <row r="104" spans="2:18" x14ac:dyDescent="0.3">
      <c r="C104" s="34"/>
      <c r="D104" s="34"/>
      <c r="E104" s="34"/>
      <c r="F104" s="34"/>
      <c r="G104" s="34"/>
      <c r="H104" s="34"/>
      <c r="I104" s="34"/>
      <c r="J104" s="34"/>
    </row>
    <row r="105" spans="2:18" x14ac:dyDescent="0.3">
      <c r="C105" s="34"/>
      <c r="D105" s="34"/>
      <c r="E105" s="34"/>
      <c r="F105" s="34"/>
      <c r="G105" s="34"/>
      <c r="H105" s="34"/>
      <c r="I105" s="34"/>
      <c r="J105" s="34"/>
    </row>
    <row r="106" spans="2:18" x14ac:dyDescent="0.3">
      <c r="C106" s="34"/>
      <c r="D106" s="34"/>
      <c r="E106" s="34"/>
      <c r="F106" s="34"/>
      <c r="G106" s="34"/>
      <c r="H106" s="34"/>
      <c r="I106" s="34"/>
      <c r="J106" s="34"/>
    </row>
    <row r="107" spans="2:18" x14ac:dyDescent="0.3">
      <c r="C107" s="34"/>
      <c r="D107" s="34"/>
      <c r="E107" s="34"/>
      <c r="F107" s="34"/>
      <c r="G107" s="34"/>
      <c r="H107" s="34"/>
      <c r="I107" s="34"/>
      <c r="J107" s="34"/>
    </row>
    <row r="108" spans="2:18" x14ac:dyDescent="0.3">
      <c r="C108" s="34"/>
      <c r="D108" s="34"/>
      <c r="E108" s="34"/>
      <c r="F108" s="34"/>
      <c r="G108" s="34"/>
      <c r="H108" s="34"/>
      <c r="I108" s="34"/>
      <c r="J108" s="34"/>
    </row>
    <row r="109" spans="2:18" x14ac:dyDescent="0.3">
      <c r="C109" s="34"/>
      <c r="D109" s="34"/>
      <c r="E109" s="34"/>
      <c r="F109" s="34"/>
      <c r="G109" s="34"/>
      <c r="H109" s="34"/>
      <c r="I109" s="34"/>
      <c r="J109" s="34"/>
    </row>
    <row r="110" spans="2:18" x14ac:dyDescent="0.3">
      <c r="C110" s="34"/>
      <c r="D110" s="34"/>
      <c r="E110" s="34"/>
      <c r="F110" s="34"/>
      <c r="G110" s="34"/>
      <c r="H110" s="34"/>
      <c r="I110" s="34"/>
      <c r="J110" s="34"/>
    </row>
    <row r="111" spans="2:18" x14ac:dyDescent="0.3">
      <c r="C111" s="34"/>
      <c r="D111" s="34"/>
      <c r="E111" s="34"/>
      <c r="F111" s="34"/>
      <c r="G111" s="34"/>
      <c r="H111" s="34"/>
      <c r="I111" s="34"/>
      <c r="J111" s="34"/>
    </row>
    <row r="112" spans="2:18" x14ac:dyDescent="0.3">
      <c r="C112" s="34"/>
      <c r="D112" s="34"/>
      <c r="E112" s="34"/>
      <c r="F112" s="34"/>
      <c r="G112" s="34"/>
      <c r="H112" s="34"/>
      <c r="I112" s="34"/>
      <c r="J112" s="34"/>
    </row>
    <row r="113" s="34" customFormat="1" x14ac:dyDescent="0.3"/>
    <row r="114" s="34" customFormat="1" x14ac:dyDescent="0.3"/>
    <row r="115" s="34" customFormat="1" x14ac:dyDescent="0.3"/>
    <row r="116" s="34" customFormat="1" x14ac:dyDescent="0.3"/>
    <row r="117" s="34" customFormat="1" x14ac:dyDescent="0.3"/>
    <row r="118" s="34" customFormat="1" x14ac:dyDescent="0.3"/>
    <row r="119" s="34" customFormat="1" x14ac:dyDescent="0.3"/>
    <row r="120" s="34" customFormat="1" x14ac:dyDescent="0.3"/>
    <row r="121" s="34" customFormat="1" x14ac:dyDescent="0.3"/>
    <row r="122" s="34" customFormat="1" x14ac:dyDescent="0.3"/>
    <row r="123" s="34" customFormat="1" x14ac:dyDescent="0.3"/>
    <row r="124" s="34" customFormat="1" x14ac:dyDescent="0.3"/>
    <row r="125" s="34" customFormat="1" x14ac:dyDescent="0.3"/>
    <row r="126" s="34" customFormat="1" x14ac:dyDescent="0.3"/>
    <row r="127" s="34" customFormat="1" x14ac:dyDescent="0.3"/>
    <row r="128" s="34" customFormat="1" x14ac:dyDescent="0.3"/>
    <row r="129" s="34" customFormat="1" x14ac:dyDescent="0.3"/>
    <row r="130" s="34" customFormat="1" x14ac:dyDescent="0.3"/>
    <row r="131" s="34" customFormat="1" x14ac:dyDescent="0.3"/>
    <row r="132" s="34" customFormat="1" x14ac:dyDescent="0.3"/>
    <row r="133" s="34" customFormat="1" x14ac:dyDescent="0.3"/>
    <row r="134" s="34" customFormat="1" x14ac:dyDescent="0.3"/>
    <row r="135" s="34" customFormat="1" x14ac:dyDescent="0.3"/>
    <row r="136" s="34" customFormat="1" x14ac:dyDescent="0.3"/>
    <row r="137" s="34" customFormat="1" x14ac:dyDescent="0.3"/>
    <row r="138" s="34" customFormat="1" x14ac:dyDescent="0.3"/>
    <row r="139" s="34" customFormat="1" x14ac:dyDescent="0.3"/>
    <row r="140" s="34" customFormat="1" x14ac:dyDescent="0.3"/>
    <row r="141" s="34" customFormat="1" x14ac:dyDescent="0.3"/>
    <row r="142" s="34" customFormat="1" x14ac:dyDescent="0.3"/>
    <row r="143" s="34" customFormat="1" x14ac:dyDescent="0.3"/>
    <row r="144" s="34" customFormat="1" x14ac:dyDescent="0.3"/>
    <row r="145" s="34" customFormat="1" x14ac:dyDescent="0.3"/>
    <row r="146" s="34" customFormat="1" x14ac:dyDescent="0.3"/>
    <row r="147" s="34" customFormat="1" x14ac:dyDescent="0.3"/>
    <row r="148" s="34" customFormat="1" x14ac:dyDescent="0.3"/>
    <row r="149" s="34" customFormat="1" x14ac:dyDescent="0.3"/>
    <row r="150" s="34" customFormat="1" x14ac:dyDescent="0.3"/>
    <row r="151" s="34" customFormat="1" x14ac:dyDescent="0.3"/>
    <row r="152" s="34" customFormat="1" x14ac:dyDescent="0.3"/>
    <row r="153" s="34" customFormat="1" x14ac:dyDescent="0.3"/>
    <row r="154" s="34" customFormat="1" x14ac:dyDescent="0.3"/>
    <row r="155" s="34" customFormat="1" x14ac:dyDescent="0.3"/>
    <row r="156" s="34" customFormat="1" x14ac:dyDescent="0.3"/>
    <row r="157" s="34" customFormat="1" x14ac:dyDescent="0.3"/>
    <row r="158" s="34" customFormat="1" x14ac:dyDescent="0.3"/>
    <row r="159" s="34" customFormat="1" x14ac:dyDescent="0.3"/>
    <row r="160" s="34" customFormat="1" x14ac:dyDescent="0.3"/>
    <row r="161" s="34" customFormat="1" x14ac:dyDescent="0.3"/>
    <row r="162" s="34" customFormat="1" x14ac:dyDescent="0.3"/>
    <row r="163" s="34" customFormat="1" x14ac:dyDescent="0.3"/>
    <row r="164" s="34" customFormat="1" x14ac:dyDescent="0.3"/>
    <row r="165" s="34" customFormat="1" x14ac:dyDescent="0.3"/>
    <row r="166" s="34" customFormat="1" x14ac:dyDescent="0.3"/>
    <row r="167" s="34" customFormat="1" x14ac:dyDescent="0.3"/>
    <row r="168" s="34" customFormat="1" x14ac:dyDescent="0.3"/>
    <row r="169" s="34" customFormat="1" x14ac:dyDescent="0.3"/>
    <row r="170" s="34" customFormat="1" x14ac:dyDescent="0.3"/>
    <row r="171" s="34" customFormat="1" x14ac:dyDescent="0.3"/>
    <row r="172" s="34" customFormat="1" x14ac:dyDescent="0.3"/>
    <row r="173" s="34" customFormat="1" x14ac:dyDescent="0.3"/>
    <row r="174" s="34" customFormat="1" x14ac:dyDescent="0.3"/>
    <row r="175" s="34" customFormat="1" x14ac:dyDescent="0.3"/>
    <row r="176" s="34" customFormat="1" x14ac:dyDescent="0.3"/>
    <row r="177" s="34" customFormat="1" x14ac:dyDescent="0.3"/>
    <row r="178" s="34" customFormat="1" x14ac:dyDescent="0.3"/>
    <row r="179" s="34" customFormat="1" x14ac:dyDescent="0.3"/>
    <row r="180" s="34" customFormat="1" x14ac:dyDescent="0.3"/>
    <row r="181" s="34" customFormat="1" x14ac:dyDescent="0.3"/>
    <row r="182" s="34" customFormat="1" x14ac:dyDescent="0.3"/>
    <row r="183" s="34" customFormat="1" x14ac:dyDescent="0.3"/>
    <row r="184" s="34" customFormat="1" x14ac:dyDescent="0.3"/>
    <row r="185" s="34" customFormat="1" x14ac:dyDescent="0.3"/>
    <row r="186" s="34" customFormat="1" x14ac:dyDescent="0.3"/>
    <row r="187" s="34" customFormat="1" x14ac:dyDescent="0.3"/>
    <row r="188" s="34" customFormat="1" x14ac:dyDescent="0.3"/>
    <row r="189" s="34" customFormat="1" x14ac:dyDescent="0.3"/>
    <row r="190" s="34" customFormat="1" x14ac:dyDescent="0.3"/>
    <row r="191" s="34" customFormat="1" x14ac:dyDescent="0.3"/>
    <row r="192" s="34" customFormat="1" x14ac:dyDescent="0.3"/>
    <row r="193" s="34" customFormat="1" x14ac:dyDescent="0.3"/>
    <row r="194" s="34" customFormat="1" x14ac:dyDescent="0.3"/>
    <row r="195" s="34" customFormat="1" x14ac:dyDescent="0.3"/>
    <row r="196" s="34" customFormat="1" x14ac:dyDescent="0.3"/>
    <row r="197" s="34" customFormat="1" x14ac:dyDescent="0.3"/>
    <row r="198" s="34" customFormat="1" x14ac:dyDescent="0.3"/>
    <row r="199" s="34" customFormat="1" x14ac:dyDescent="0.3"/>
    <row r="200" s="34" customFormat="1" x14ac:dyDescent="0.3"/>
    <row r="201" s="34" customFormat="1" x14ac:dyDescent="0.3"/>
    <row r="202" s="34" customFormat="1" x14ac:dyDescent="0.3"/>
    <row r="203" s="34" customFormat="1" x14ac:dyDescent="0.3"/>
    <row r="204" s="34" customFormat="1" x14ac:dyDescent="0.3"/>
    <row r="205" s="34" customFormat="1" x14ac:dyDescent="0.3"/>
    <row r="206" s="34" customFormat="1" x14ac:dyDescent="0.3"/>
    <row r="207" s="34" customFormat="1" x14ac:dyDescent="0.3"/>
    <row r="208" s="34" customFormat="1" x14ac:dyDescent="0.3"/>
    <row r="209" s="34" customFormat="1" x14ac:dyDescent="0.3"/>
    <row r="210" s="34" customFormat="1" x14ac:dyDescent="0.3"/>
    <row r="211" s="34" customFormat="1" x14ac:dyDescent="0.3"/>
    <row r="212" s="34" customFormat="1" x14ac:dyDescent="0.3"/>
    <row r="213" s="34" customFormat="1" x14ac:dyDescent="0.3"/>
    <row r="214" s="34" customFormat="1" x14ac:dyDescent="0.3"/>
    <row r="215" s="34" customFormat="1" x14ac:dyDescent="0.3"/>
    <row r="216" s="34" customFormat="1" x14ac:dyDescent="0.3"/>
    <row r="217" s="34" customFormat="1" x14ac:dyDescent="0.3"/>
    <row r="218" s="34" customFormat="1" x14ac:dyDescent="0.3"/>
    <row r="219" s="34" customFormat="1" x14ac:dyDescent="0.3"/>
    <row r="220" s="34" customFormat="1" x14ac:dyDescent="0.3"/>
    <row r="221" s="34" customFormat="1" x14ac:dyDescent="0.3"/>
    <row r="222" s="34" customFormat="1" x14ac:dyDescent="0.3"/>
    <row r="223" s="34" customFormat="1" x14ac:dyDescent="0.3"/>
    <row r="224" s="34" customFormat="1" x14ac:dyDescent="0.3"/>
    <row r="225" s="34" customFormat="1" x14ac:dyDescent="0.3"/>
    <row r="226" s="34" customFormat="1" x14ac:dyDescent="0.3"/>
    <row r="227" s="34" customFormat="1" x14ac:dyDescent="0.3"/>
    <row r="228" s="34" customFormat="1" x14ac:dyDescent="0.3"/>
    <row r="229" s="34" customFormat="1" x14ac:dyDescent="0.3"/>
    <row r="230" s="34" customFormat="1" x14ac:dyDescent="0.3"/>
    <row r="231" s="34" customFormat="1" x14ac:dyDescent="0.3"/>
    <row r="232" s="34" customFormat="1" x14ac:dyDescent="0.3"/>
    <row r="233" s="34" customFormat="1" x14ac:dyDescent="0.3"/>
    <row r="234" s="34" customFormat="1" x14ac:dyDescent="0.3"/>
    <row r="235" s="34" customFormat="1" x14ac:dyDescent="0.3"/>
    <row r="236" s="34" customFormat="1" x14ac:dyDescent="0.3"/>
    <row r="237" s="34" customFormat="1" x14ac:dyDescent="0.3"/>
    <row r="238" s="34" customFormat="1" x14ac:dyDescent="0.3"/>
    <row r="239" s="34" customFormat="1" x14ac:dyDescent="0.3"/>
    <row r="240" s="34" customFormat="1" x14ac:dyDescent="0.3"/>
    <row r="241" s="34" customFormat="1" x14ac:dyDescent="0.3"/>
    <row r="242" s="34" customFormat="1" x14ac:dyDescent="0.3"/>
    <row r="243" s="34" customFormat="1" x14ac:dyDescent="0.3"/>
    <row r="244" s="34" customFormat="1" x14ac:dyDescent="0.3"/>
    <row r="245" s="34" customFormat="1" x14ac:dyDescent="0.3"/>
    <row r="246" s="34" customFormat="1" x14ac:dyDescent="0.3"/>
    <row r="247" s="34" customFormat="1" x14ac:dyDescent="0.3"/>
    <row r="248" s="34" customFormat="1" x14ac:dyDescent="0.3"/>
    <row r="249" s="34" customFormat="1" x14ac:dyDescent="0.3"/>
    <row r="250" s="34" customFormat="1" x14ac:dyDescent="0.3"/>
    <row r="251" s="34" customFormat="1" x14ac:dyDescent="0.3"/>
    <row r="252" s="34" customFormat="1" x14ac:dyDescent="0.3"/>
    <row r="253" s="34" customFormat="1" x14ac:dyDescent="0.3"/>
    <row r="254" s="34" customFormat="1" x14ac:dyDescent="0.3"/>
    <row r="255" s="34" customFormat="1" x14ac:dyDescent="0.3"/>
    <row r="256" s="34" customFormat="1" x14ac:dyDescent="0.3"/>
    <row r="257" s="34" customFormat="1" x14ac:dyDescent="0.3"/>
    <row r="258" s="34" customFormat="1" x14ac:dyDescent="0.3"/>
    <row r="259" s="34" customFormat="1" x14ac:dyDescent="0.3"/>
    <row r="260" s="34" customFormat="1" x14ac:dyDescent="0.3"/>
    <row r="261" s="34" customFormat="1" x14ac:dyDescent="0.3"/>
    <row r="262" s="34" customFormat="1" x14ac:dyDescent="0.3"/>
    <row r="263" s="34" customFormat="1" x14ac:dyDescent="0.3"/>
    <row r="264" s="34" customFormat="1" x14ac:dyDescent="0.3"/>
    <row r="265" s="34" customFormat="1" x14ac:dyDescent="0.3"/>
    <row r="266" s="34" customFormat="1" x14ac:dyDescent="0.3"/>
    <row r="267" s="34" customFormat="1" x14ac:dyDescent="0.3"/>
    <row r="268" s="34" customFormat="1" x14ac:dyDescent="0.3"/>
    <row r="269" s="34" customFormat="1" x14ac:dyDescent="0.3"/>
    <row r="270" s="34" customFormat="1" x14ac:dyDescent="0.3"/>
    <row r="271" s="34" customFormat="1" x14ac:dyDescent="0.3"/>
    <row r="272" s="34" customFormat="1" x14ac:dyDescent="0.3"/>
    <row r="273" s="34" customFormat="1" x14ac:dyDescent="0.3"/>
    <row r="274" s="34" customFormat="1" x14ac:dyDescent="0.3"/>
    <row r="275" s="34" customFormat="1" x14ac:dyDescent="0.3"/>
    <row r="276" s="34" customFormat="1" x14ac:dyDescent="0.3"/>
    <row r="277" s="34" customFormat="1" x14ac:dyDescent="0.3"/>
    <row r="278" s="34" customFormat="1" x14ac:dyDescent="0.3"/>
    <row r="279" s="34" customFormat="1" x14ac:dyDescent="0.3"/>
    <row r="280" s="34" customFormat="1" x14ac:dyDescent="0.3"/>
    <row r="281" s="34" customFormat="1" x14ac:dyDescent="0.3"/>
    <row r="282" s="34" customFormat="1" x14ac:dyDescent="0.3"/>
    <row r="283" s="34" customFormat="1" x14ac:dyDescent="0.3"/>
    <row r="284" s="34" customFormat="1" x14ac:dyDescent="0.3"/>
    <row r="285" s="34" customFormat="1" x14ac:dyDescent="0.3"/>
    <row r="286" s="34" customFormat="1" x14ac:dyDescent="0.3"/>
    <row r="287" s="34" customFormat="1" x14ac:dyDescent="0.3"/>
    <row r="288" s="34" customFormat="1" x14ac:dyDescent="0.3"/>
    <row r="289" s="34" customFormat="1" x14ac:dyDescent="0.3"/>
    <row r="290" s="34" customFormat="1" x14ac:dyDescent="0.3"/>
    <row r="291" s="34" customFormat="1" x14ac:dyDescent="0.3"/>
    <row r="292" s="34" customFormat="1" x14ac:dyDescent="0.3"/>
    <row r="293" s="34" customFormat="1" x14ac:dyDescent="0.3"/>
    <row r="294" s="34" customFormat="1" x14ac:dyDescent="0.3"/>
    <row r="295" s="34" customFormat="1" x14ac:dyDescent="0.3"/>
    <row r="296" s="34" customFormat="1" x14ac:dyDescent="0.3"/>
    <row r="297" s="34" customFormat="1" x14ac:dyDescent="0.3"/>
    <row r="298" s="34" customFormat="1" x14ac:dyDescent="0.3"/>
    <row r="299" s="34" customFormat="1" x14ac:dyDescent="0.3"/>
    <row r="300" s="34" customFormat="1" x14ac:dyDescent="0.3"/>
    <row r="301" s="34" customFormat="1" x14ac:dyDescent="0.3"/>
    <row r="302" s="34" customFormat="1" x14ac:dyDescent="0.3"/>
    <row r="303" s="34" customFormat="1" x14ac:dyDescent="0.3"/>
    <row r="304" s="34" customFormat="1" x14ac:dyDescent="0.3"/>
    <row r="305" s="34" customFormat="1" x14ac:dyDescent="0.3"/>
    <row r="306" s="34" customFormat="1" x14ac:dyDescent="0.3"/>
    <row r="307" s="34" customFormat="1" x14ac:dyDescent="0.3"/>
    <row r="308" s="34" customFormat="1" x14ac:dyDescent="0.3"/>
    <row r="309" s="34" customFormat="1" x14ac:dyDescent="0.3"/>
    <row r="310" s="34" customFormat="1" x14ac:dyDescent="0.3"/>
    <row r="311" s="34" customFormat="1" x14ac:dyDescent="0.3"/>
    <row r="312" s="34" customFormat="1" x14ac:dyDescent="0.3"/>
    <row r="313" s="34" customFormat="1" x14ac:dyDescent="0.3"/>
    <row r="314" s="34" customFormat="1" x14ac:dyDescent="0.3"/>
    <row r="315" s="34" customFormat="1" x14ac:dyDescent="0.3"/>
    <row r="316" s="34" customFormat="1" x14ac:dyDescent="0.3"/>
    <row r="317" s="34" customFormat="1" x14ac:dyDescent="0.3"/>
    <row r="318" s="34" customFormat="1" x14ac:dyDescent="0.3"/>
    <row r="319" s="34" customFormat="1" x14ac:dyDescent="0.3"/>
    <row r="320" s="34" customFormat="1" x14ac:dyDescent="0.3"/>
    <row r="321" s="34" customFormat="1" x14ac:dyDescent="0.3"/>
    <row r="322" s="34" customFormat="1" x14ac:dyDescent="0.3"/>
    <row r="323" s="34" customFormat="1" x14ac:dyDescent="0.3"/>
    <row r="324" s="34" customFormat="1" x14ac:dyDescent="0.3"/>
    <row r="325" s="34" customFormat="1" x14ac:dyDescent="0.3"/>
    <row r="326" s="34" customFormat="1" x14ac:dyDescent="0.3"/>
    <row r="327" s="34" customFormat="1" x14ac:dyDescent="0.3"/>
    <row r="328" s="34" customFormat="1" x14ac:dyDescent="0.3"/>
    <row r="329" s="34" customFormat="1" x14ac:dyDescent="0.3"/>
    <row r="330" s="34" customFormat="1" x14ac:dyDescent="0.3"/>
    <row r="331" s="34" customFormat="1" x14ac:dyDescent="0.3"/>
    <row r="332" s="34" customFormat="1" x14ac:dyDescent="0.3"/>
    <row r="333" s="34" customFormat="1" x14ac:dyDescent="0.3"/>
    <row r="334" s="34" customFormat="1" x14ac:dyDescent="0.3"/>
    <row r="335" s="34" customFormat="1" x14ac:dyDescent="0.3"/>
    <row r="336" s="34" customFormat="1" x14ac:dyDescent="0.3"/>
    <row r="337" s="34" customFormat="1" x14ac:dyDescent="0.3"/>
    <row r="338" s="34" customFormat="1" x14ac:dyDescent="0.3"/>
    <row r="339" s="34" customFormat="1" x14ac:dyDescent="0.3"/>
    <row r="340" s="34" customFormat="1" x14ac:dyDescent="0.3"/>
    <row r="341" s="34" customFormat="1" x14ac:dyDescent="0.3"/>
    <row r="342" s="34" customFormat="1" x14ac:dyDescent="0.3"/>
    <row r="343" s="34" customFormat="1" x14ac:dyDescent="0.3"/>
    <row r="344" s="34" customFormat="1" x14ac:dyDescent="0.3"/>
    <row r="345" s="34" customFormat="1" x14ac:dyDescent="0.3"/>
    <row r="346" s="34" customFormat="1" x14ac:dyDescent="0.3"/>
    <row r="347" s="34" customFormat="1" x14ac:dyDescent="0.3"/>
    <row r="348" s="34" customFormat="1" x14ac:dyDescent="0.3"/>
    <row r="349" s="34" customFormat="1" x14ac:dyDescent="0.3"/>
    <row r="350" s="34" customFormat="1" x14ac:dyDescent="0.3"/>
    <row r="351" s="34" customFormat="1" x14ac:dyDescent="0.3"/>
    <row r="352" s="34" customFormat="1" x14ac:dyDescent="0.3"/>
    <row r="353" s="34" customFormat="1" x14ac:dyDescent="0.3"/>
    <row r="354" s="34" customFormat="1" x14ac:dyDescent="0.3"/>
    <row r="355" s="34" customFormat="1" x14ac:dyDescent="0.3"/>
    <row r="356" s="34" customFormat="1" x14ac:dyDescent="0.3"/>
    <row r="357" s="34" customFormat="1" x14ac:dyDescent="0.3"/>
    <row r="358" s="34" customFormat="1" x14ac:dyDescent="0.3"/>
    <row r="359" s="34" customFormat="1" x14ac:dyDescent="0.3"/>
    <row r="360" s="34" customFormat="1" x14ac:dyDescent="0.3"/>
    <row r="361" s="34" customFormat="1" x14ac:dyDescent="0.3"/>
    <row r="362" s="34" customFormat="1" x14ac:dyDescent="0.3"/>
    <row r="363" s="34" customFormat="1" x14ac:dyDescent="0.3"/>
    <row r="364" s="34" customFormat="1" x14ac:dyDescent="0.3"/>
    <row r="365" s="34" customFormat="1" x14ac:dyDescent="0.3"/>
    <row r="366" s="34" customFormat="1" x14ac:dyDescent="0.3"/>
    <row r="367" s="34" customFormat="1" x14ac:dyDescent="0.3"/>
    <row r="368" s="34" customFormat="1" x14ac:dyDescent="0.3"/>
    <row r="369" s="34" customFormat="1" x14ac:dyDescent="0.3"/>
    <row r="370" s="34" customFormat="1" x14ac:dyDescent="0.3"/>
    <row r="371" s="34" customFormat="1" x14ac:dyDescent="0.3"/>
    <row r="372" s="34" customFormat="1" x14ac:dyDescent="0.3"/>
    <row r="373" s="34" customFormat="1" x14ac:dyDescent="0.3"/>
    <row r="374" s="34" customFormat="1" x14ac:dyDescent="0.3"/>
    <row r="375" s="34" customFormat="1" x14ac:dyDescent="0.3"/>
    <row r="376" s="34" customFormat="1" x14ac:dyDescent="0.3"/>
    <row r="377" s="34" customFormat="1" x14ac:dyDescent="0.3"/>
    <row r="378" s="34" customFormat="1" x14ac:dyDescent="0.3"/>
    <row r="379" s="34" customFormat="1" x14ac:dyDescent="0.3"/>
    <row r="380" s="34" customFormat="1" x14ac:dyDescent="0.3"/>
    <row r="381" s="34" customFormat="1" x14ac:dyDescent="0.3"/>
    <row r="382" s="34" customFormat="1" x14ac:dyDescent="0.3"/>
    <row r="383" s="34" customFormat="1" x14ac:dyDescent="0.3"/>
    <row r="384" s="34" customFormat="1" x14ac:dyDescent="0.3"/>
    <row r="385" s="34" customFormat="1" x14ac:dyDescent="0.3"/>
    <row r="386" s="34" customFormat="1" x14ac:dyDescent="0.3"/>
    <row r="387" s="34" customFormat="1" x14ac:dyDescent="0.3"/>
    <row r="388" s="34" customFormat="1" x14ac:dyDescent="0.3"/>
    <row r="389" s="34" customFormat="1" x14ac:dyDescent="0.3"/>
    <row r="390" s="34" customFormat="1" x14ac:dyDescent="0.3"/>
    <row r="391" s="34" customFormat="1" x14ac:dyDescent="0.3"/>
    <row r="392" s="34" customFormat="1" x14ac:dyDescent="0.3"/>
    <row r="393" s="34" customFormat="1" x14ac:dyDescent="0.3"/>
    <row r="394" s="34" customFormat="1" x14ac:dyDescent="0.3"/>
    <row r="395" s="34" customFormat="1" x14ac:dyDescent="0.3"/>
    <row r="396" s="34" customFormat="1" x14ac:dyDescent="0.3"/>
    <row r="397" s="34" customFormat="1" x14ac:dyDescent="0.3"/>
    <row r="398" s="34" customFormat="1" x14ac:dyDescent="0.3"/>
    <row r="399" s="34" customFormat="1" x14ac:dyDescent="0.3"/>
    <row r="400" s="34" customFormat="1" x14ac:dyDescent="0.3"/>
    <row r="401" s="34" customFormat="1" x14ac:dyDescent="0.3"/>
    <row r="402" s="34" customFormat="1" x14ac:dyDescent="0.3"/>
    <row r="403" s="34" customFormat="1" x14ac:dyDescent="0.3"/>
    <row r="404" s="34" customFormat="1" x14ac:dyDescent="0.3"/>
    <row r="405" s="34" customFormat="1" x14ac:dyDescent="0.3"/>
    <row r="406" s="34" customFormat="1" x14ac:dyDescent="0.3"/>
    <row r="407" s="34" customFormat="1" x14ac:dyDescent="0.3"/>
    <row r="408" s="34" customFormat="1" x14ac:dyDescent="0.3"/>
    <row r="409" s="34" customFormat="1" x14ac:dyDescent="0.3"/>
    <row r="410" s="34" customFormat="1" x14ac:dyDescent="0.3"/>
    <row r="411" s="34" customFormat="1" x14ac:dyDescent="0.3"/>
    <row r="412" s="34" customFormat="1" x14ac:dyDescent="0.3"/>
    <row r="413" s="34" customFormat="1" x14ac:dyDescent="0.3"/>
    <row r="414" s="34" customFormat="1" x14ac:dyDescent="0.3"/>
    <row r="415" s="34" customFormat="1" x14ac:dyDescent="0.3"/>
    <row r="416" s="34" customFormat="1" x14ac:dyDescent="0.3"/>
    <row r="417" s="34" customFormat="1" x14ac:dyDescent="0.3"/>
    <row r="418" s="34" customFormat="1" x14ac:dyDescent="0.3"/>
    <row r="419" s="34" customFormat="1" x14ac:dyDescent="0.3"/>
    <row r="420" s="34" customFormat="1" x14ac:dyDescent="0.3"/>
    <row r="421" s="34" customFormat="1" x14ac:dyDescent="0.3"/>
    <row r="422" s="34" customFormat="1" x14ac:dyDescent="0.3"/>
    <row r="423" s="34" customFormat="1" x14ac:dyDescent="0.3"/>
    <row r="424" s="34" customFormat="1" x14ac:dyDescent="0.3"/>
    <row r="425" s="34" customFormat="1" x14ac:dyDescent="0.3"/>
    <row r="426" s="34" customFormat="1" x14ac:dyDescent="0.3"/>
    <row r="427" s="34" customFormat="1" x14ac:dyDescent="0.3"/>
    <row r="428" s="34" customFormat="1" x14ac:dyDescent="0.3"/>
    <row r="429" s="34" customFormat="1" x14ac:dyDescent="0.3"/>
    <row r="430" s="34" customFormat="1" x14ac:dyDescent="0.3"/>
    <row r="431" s="34" customFormat="1" x14ac:dyDescent="0.3"/>
    <row r="432" s="34" customFormat="1" x14ac:dyDescent="0.3"/>
    <row r="433" s="34" customFormat="1" x14ac:dyDescent="0.3"/>
    <row r="434" s="34" customFormat="1" x14ac:dyDescent="0.3"/>
    <row r="435" s="34" customFormat="1" x14ac:dyDescent="0.3"/>
    <row r="436" s="34" customFormat="1" x14ac:dyDescent="0.3"/>
    <row r="437" s="34" customFormat="1" x14ac:dyDescent="0.3"/>
    <row r="438" s="34" customFormat="1" x14ac:dyDescent="0.3"/>
    <row r="439" s="34" customFormat="1" x14ac:dyDescent="0.3"/>
    <row r="440" s="34" customFormat="1" x14ac:dyDescent="0.3"/>
    <row r="441" s="34" customFormat="1" x14ac:dyDescent="0.3"/>
  </sheetData>
  <conditionalFormatting sqref="C1:N4 C98:N1048576">
    <cfRule type="colorScale" priority="1">
      <colorScale>
        <cfvo type="num" val="-1"/>
        <cfvo type="num" val="0"/>
        <cfvo type="num" val="1"/>
        <color rgb="FFF8696B"/>
        <color rgb="FFFFEB84"/>
        <color rgb="FF92D050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380A4C557AF840A9DC2F00F55FE3A8" ma:contentTypeVersion="4" ma:contentTypeDescription="Crear nuevo documento." ma:contentTypeScope="" ma:versionID="99ae27b90f78be60a7a82dcc64ec050e">
  <xsd:schema xmlns:xsd="http://www.w3.org/2001/XMLSchema" xmlns:xs="http://www.w3.org/2001/XMLSchema" xmlns:p="http://schemas.microsoft.com/office/2006/metadata/properties" xmlns:ns3="2e11bffb-712f-4ee9-8ef2-1bb4911ea851" targetNamespace="http://schemas.microsoft.com/office/2006/metadata/properties" ma:root="true" ma:fieldsID="68f4d3bb0f7cbc8e52ba46ea434f5835" ns3:_="">
    <xsd:import namespace="2e11bffb-712f-4ee9-8ef2-1bb4911ea8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bffb-712f-4ee9-8ef2-1bb4911ea8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11bffb-712f-4ee9-8ef2-1bb4911ea8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46FDF0-9357-4BF1-B06B-4EB9DCEC1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bffb-712f-4ee9-8ef2-1bb4911ea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ABA347-0B36-46D2-9412-51BBB6E6846C}">
  <ds:schemaRefs/>
</ds:datastoreItem>
</file>

<file path=customXml/itemProps3.xml><?xml version="1.0" encoding="utf-8"?>
<ds:datastoreItem xmlns:ds="http://schemas.openxmlformats.org/officeDocument/2006/customXml" ds:itemID="{40DA4B55-B94D-40A6-A303-68E5817900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CUENTAS DINERO PRESUPUESTO1</vt:lpstr>
      <vt:lpstr>DINAMICA</vt:lpstr>
      <vt:lpstr>DINAMICA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CIRO CRIOLLO</dc:creator>
  <cp:keywords/>
  <dc:description/>
  <cp:lastModifiedBy>SANTIAGO CIRO CRIOLLO</cp:lastModifiedBy>
  <cp:revision/>
  <dcterms:created xsi:type="dcterms:W3CDTF">2023-12-01T23:08:26Z</dcterms:created>
  <dcterms:modified xsi:type="dcterms:W3CDTF">2026-02-28T22:17:59Z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0x01010097380A4C557AF840A9DC2F00F55FE3A8</vt:lpwstr>
  </property>
</Properties>
</file>